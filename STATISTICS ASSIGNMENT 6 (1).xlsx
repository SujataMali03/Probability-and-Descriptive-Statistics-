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13_ncr:1_{FBEEA898-D80D-4EBA-8FC3-C7A8D86F48E4}" xr6:coauthVersionLast="47" xr6:coauthVersionMax="47" xr10:uidLastSave="{00000000-0000-0000-0000-000000000000}"/>
  <bookViews>
    <workbookView xWindow="-110" yWindow="-110" windowWidth="19420" windowHeight="10300" activeTab="2" xr2:uid="{6E2D3FA7-69C4-4050-A406-9E6939FEDC78}"/>
  </bookViews>
  <sheets>
    <sheet name="Q1)" sheetId="1" r:id="rId1"/>
    <sheet name="Q2)" sheetId="2" r:id="rId2"/>
    <sheet name="Q2(A)" sheetId="3" r:id="rId3"/>
    <sheet name="Q3)" sheetId="4" r:id="rId4"/>
    <sheet name="Q4)" sheetId="5" r:id="rId5"/>
    <sheet name="Q5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  <c r="B13" i="1"/>
  <c r="B12" i="1"/>
</calcChain>
</file>

<file path=xl/sharedStrings.xml><?xml version="1.0" encoding="utf-8"?>
<sst xmlns="http://schemas.openxmlformats.org/spreadsheetml/2006/main" count="129" uniqueCount="88">
  <si>
    <t>Assignment no.6: Simple Linear Regression and Plots in Excel</t>
  </si>
  <si>
    <t>Marks</t>
  </si>
  <si>
    <t>sum:</t>
  </si>
  <si>
    <t>Standard deviation</t>
  </si>
  <si>
    <t>Z score</t>
  </si>
  <si>
    <t>∣Z∣&gt;3⇒Outlier</t>
  </si>
  <si>
    <t>Result / Conclusion</t>
  </si>
  <si>
    <t>None of the Z-scores exceed ±3.</t>
  </si>
  <si>
    <t>Therefore, there are no outliers present in the data.</t>
  </si>
  <si>
    <t>Q1) Compute Z scores and check if there is any outlier in the data.</t>
  </si>
  <si>
    <t>Q2) Create a hypothetical data with 30 observations on hours studied in a month and exam scores. Run a simple linear regression using data analysis tool pack in Excel.</t>
  </si>
  <si>
    <t>Hours Studied (X)</t>
  </si>
  <si>
    <t>Exam Score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</si>
  <si>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</si>
  <si>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</si>
  <si>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</si>
  <si>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</si>
  <si>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</si>
  <si>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</si>
  <si>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</si>
  <si>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</si>
  <si>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</si>
  <si>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</si>
  <si>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</si>
  <si>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</si>
  <si>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</si>
  <si>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</si>
  <si>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</si>
  <si>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</si>
  <si>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</si>
  <si>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</si>
  <si>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</si>
  <si>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</si>
  <si>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</si>
  <si>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</si>
  <si>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</si>
  <si>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</si>
  <si>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</si>
  <si>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</si>
  <si>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42</t>
  </si>
  <si>
    <t>Residuals</t>
  </si>
  <si>
    <t>Regression Equation</t>
  </si>
  <si>
    <t>Where:</t>
  </si>
  <si>
    <t>Y^=a +Bx</t>
  </si>
  <si>
    <t>Y^=38+1.8x</t>
  </si>
  <si>
    <t>Interpretation</t>
  </si>
  <si>
    <t>Conclusion</t>
  </si>
  <si>
    <t>Hours studied significantly influence exam scores, and the regression model adequately explains the relationship.</t>
  </si>
  <si>
    <r>
      <t xml:space="preserve">The slope indicates that for every additional hour studied, the exam score increases by approximately </t>
    </r>
    <r>
      <rPr>
        <b/>
        <sz val="18"/>
        <color theme="1"/>
        <rFont val="Aptos Narrow"/>
        <family val="2"/>
        <scheme val="minor"/>
      </rPr>
      <t>1.8 marks</t>
    </r>
    <r>
      <rPr>
        <sz val="18"/>
        <color theme="1"/>
        <rFont val="Aptos Narrow"/>
        <family val="2"/>
        <scheme val="minor"/>
      </rPr>
      <t>.</t>
    </r>
  </si>
  <si>
    <r>
      <t xml:space="preserve">The positive slope and high R² value indicate a </t>
    </r>
    <r>
      <rPr>
        <b/>
        <sz val="18"/>
        <color theme="1"/>
        <rFont val="Aptos Narrow"/>
        <family val="2"/>
        <scheme val="minor"/>
      </rPr>
      <t>strong positive linear relationship</t>
    </r>
    <r>
      <rPr>
        <sz val="18"/>
        <color theme="1"/>
        <rFont val="Aptos Narrow"/>
        <family val="2"/>
        <scheme val="minor"/>
      </rPr>
      <t xml:space="preserve"> between hours studied and exam scores.</t>
    </r>
  </si>
  <si>
    <r>
      <t>Intercept (a)</t>
    </r>
    <r>
      <rPr>
        <sz val="18"/>
        <color theme="1"/>
        <rFont val="Aptos Narrow"/>
        <family val="2"/>
        <scheme val="minor"/>
      </rPr>
      <t xml:space="preserve"> ≈ 38</t>
    </r>
  </si>
  <si>
    <r>
      <t>Slope (b)</t>
    </r>
    <r>
      <rPr>
        <sz val="18"/>
        <color theme="1"/>
        <rFont val="Aptos Narrow"/>
        <family val="2"/>
        <scheme val="minor"/>
      </rPr>
      <t xml:space="preserve"> ≈ 1.8</t>
    </r>
  </si>
  <si>
    <t>Q3) Interpret the results of coefficient and R squared.</t>
  </si>
  <si>
    <t>Interpretation of Regression Coefficients</t>
  </si>
  <si>
    <t>Intercept (a)</t>
  </si>
  <si>
    <t>Slope / Regression Coefficient (b)</t>
  </si>
  <si>
    <r>
      <t xml:space="preserve">The intercept represents the </t>
    </r>
    <r>
      <rPr>
        <b/>
        <sz val="16"/>
        <color theme="1"/>
        <rFont val="Aptos Narrow"/>
        <family val="2"/>
        <scheme val="minor"/>
      </rPr>
      <t>expected exam score when hours studied is zero</t>
    </r>
    <r>
      <rPr>
        <sz val="16"/>
        <color theme="1"/>
        <rFont val="Aptos Narrow"/>
        <family val="2"/>
        <scheme val="minor"/>
      </rPr>
      <t>.</t>
    </r>
  </si>
  <si>
    <r>
      <t xml:space="preserve">In this model, the intercept is approximately </t>
    </r>
    <r>
      <rPr>
        <b/>
        <sz val="16"/>
        <color theme="1"/>
        <rFont val="Aptos Narrow"/>
        <family val="2"/>
        <scheme val="minor"/>
      </rPr>
      <t>38</t>
    </r>
    <r>
      <rPr>
        <sz val="16"/>
        <color theme="1"/>
        <rFont val="Aptos Narrow"/>
        <family val="2"/>
        <scheme val="minor"/>
      </rPr>
      <t>, which indicates the baseline score without study.</t>
    </r>
  </si>
  <si>
    <r>
      <t xml:space="preserve">The slope indicates the </t>
    </r>
    <r>
      <rPr>
        <b/>
        <sz val="16"/>
        <color theme="1"/>
        <rFont val="Aptos Narrow"/>
        <family val="2"/>
        <scheme val="minor"/>
      </rPr>
      <t>change in exam score for a one-unit increase in hours studied</t>
    </r>
    <r>
      <rPr>
        <sz val="16"/>
        <color theme="1"/>
        <rFont val="Aptos Narrow"/>
        <family val="2"/>
        <scheme val="minor"/>
      </rPr>
      <t>.</t>
    </r>
  </si>
  <si>
    <r>
      <t xml:space="preserve">Here, the slope is approximately </t>
    </r>
    <r>
      <rPr>
        <b/>
        <sz val="16"/>
        <color theme="1"/>
        <rFont val="Aptos Narrow"/>
        <family val="2"/>
        <scheme val="minor"/>
      </rPr>
      <t>1.8</t>
    </r>
    <r>
      <rPr>
        <sz val="16"/>
        <color theme="1"/>
        <rFont val="Aptos Narrow"/>
        <family val="2"/>
        <scheme val="minor"/>
      </rPr>
      <t xml:space="preserve">, meaning that </t>
    </r>
    <r>
      <rPr>
        <b/>
        <sz val="16"/>
        <color theme="1"/>
        <rFont val="Aptos Narrow"/>
        <family val="2"/>
        <scheme val="minor"/>
      </rPr>
      <t>for every additional hour studied, the exam score increases by about 1.8 marks</t>
    </r>
    <r>
      <rPr>
        <sz val="16"/>
        <color theme="1"/>
        <rFont val="Aptos Narrow"/>
        <family val="2"/>
        <scheme val="minor"/>
      </rPr>
      <t>.</t>
    </r>
  </si>
  <si>
    <r>
      <t xml:space="preserve">Since the slope is positive, there is a </t>
    </r>
    <r>
      <rPr>
        <b/>
        <sz val="16"/>
        <color theme="1"/>
        <rFont val="Aptos Narrow"/>
        <family val="2"/>
        <scheme val="minor"/>
      </rPr>
      <t>positive linear relationship</t>
    </r>
    <r>
      <rPr>
        <sz val="16"/>
        <color theme="1"/>
        <rFont val="Aptos Narrow"/>
        <family val="2"/>
        <scheme val="minor"/>
      </rPr>
      <t xml:space="preserve"> between hours studied and exam score.</t>
    </r>
  </si>
  <si>
    <t>Interpretation of R-Squared (R²)</t>
  </si>
  <si>
    <t>A large percentage of the variation in exam scores is explained by hours studied</t>
  </si>
  <si>
    <r>
      <t xml:space="preserve">R-squared measures the </t>
    </r>
    <r>
      <rPr>
        <b/>
        <sz val="16"/>
        <color theme="1"/>
        <rFont val="Aptos Narrow"/>
        <family val="2"/>
        <scheme val="minor"/>
      </rPr>
      <t>proportion of variation in the dependent variable explained by the independent variable</t>
    </r>
    <r>
      <rPr>
        <sz val="16"/>
        <color theme="1"/>
        <rFont val="Aptos Narrow"/>
        <family val="2"/>
        <scheme val="minor"/>
      </rPr>
      <t>.</t>
    </r>
  </si>
  <si>
    <r>
      <t xml:space="preserve">In this model, </t>
    </r>
    <r>
      <rPr>
        <b/>
        <sz val="16"/>
        <color theme="1"/>
        <rFont val="Aptos Narrow"/>
        <family val="2"/>
        <scheme val="minor"/>
      </rPr>
      <t>R² is very high (close to 1)</t>
    </r>
    <r>
      <rPr>
        <sz val="16"/>
        <color theme="1"/>
        <rFont val="Aptos Narrow"/>
        <family val="2"/>
        <scheme val="minor"/>
      </rPr>
      <t>, which indicates that:</t>
    </r>
  </si>
  <si>
    <r>
      <t xml:space="preserve">The regression model provides a </t>
    </r>
    <r>
      <rPr>
        <b/>
        <sz val="16"/>
        <color theme="1"/>
        <rFont val="Aptos Narrow"/>
        <family val="2"/>
        <scheme val="minor"/>
      </rPr>
      <t>good fit to the data</t>
    </r>
  </si>
  <si>
    <t>Overall Interpretation</t>
  </si>
  <si>
    <t>The regression coefficient shows that exam scores increase as hours studied increase.</t>
  </si>
  <si>
    <t>The high R-squared value indicates that hours studied is a strong predictor of exam scores and the model fits the data well.</t>
  </si>
  <si>
    <t>Q4) Plot the residual and line fit plots based on regression estimates.</t>
  </si>
  <si>
    <t>Q5) Explain the observed result of residual and line fit plots.</t>
  </si>
  <si>
    <t>Explanation of Residual Plot</t>
  </si>
  <si>
    <t>Observed Result</t>
  </si>
  <si>
    <t>The spread of residuals is approximately constant</t>
  </si>
  <si>
    <t>Inference</t>
  </si>
  <si>
    <t>Explanation of Line Fit Plot</t>
  </si>
  <si>
    <t>The line fit plot displays:</t>
  </si>
  <si>
    <t>Actual observed data points</t>
  </si>
  <si>
    <t>The fitted regression line based on estimated coefficients</t>
  </si>
  <si>
    <t>The residual plot confirms that the regression assumptions are satisfied, while the line fit plot demonstrates that the model fits the data well. Hence, the regression estimates are reliable.</t>
  </si>
  <si>
    <r>
      <t xml:space="preserve">The residual plot shows the difference between the </t>
    </r>
    <r>
      <rPr>
        <b/>
        <sz val="16"/>
        <color theme="1"/>
        <rFont val="Aptos Narrow"/>
        <family val="2"/>
        <scheme val="minor"/>
      </rPr>
      <t>actual values and predicted values</t>
    </r>
    <r>
      <rPr>
        <sz val="16"/>
        <color theme="1"/>
        <rFont val="Aptos Narrow"/>
        <family val="2"/>
        <scheme val="minor"/>
      </rPr>
      <t xml:space="preserve"> obtained from the regression model.</t>
    </r>
  </si>
  <si>
    <r>
      <t xml:space="preserve">The residuals are </t>
    </r>
    <r>
      <rPr>
        <b/>
        <sz val="16"/>
        <color theme="1"/>
        <rFont val="Aptos Narrow"/>
        <family val="2"/>
        <scheme val="minor"/>
      </rPr>
      <t>randomly scattered around the zero line</t>
    </r>
  </si>
  <si>
    <r>
      <t xml:space="preserve">There is </t>
    </r>
    <r>
      <rPr>
        <b/>
        <sz val="16"/>
        <color theme="1"/>
        <rFont val="Aptos Narrow"/>
        <family val="2"/>
        <scheme val="minor"/>
      </rPr>
      <t>no clear pattern or trend</t>
    </r>
  </si>
  <si>
    <r>
      <t xml:space="preserve">This indicates that the assumption of </t>
    </r>
    <r>
      <rPr>
        <b/>
        <sz val="16"/>
        <color theme="1"/>
        <rFont val="Aptos Narrow"/>
        <family val="2"/>
        <scheme val="minor"/>
      </rPr>
      <t>linearity and homoscedasticity</t>
    </r>
    <r>
      <rPr>
        <sz val="16"/>
        <color theme="1"/>
        <rFont val="Aptos Narrow"/>
        <family val="2"/>
        <scheme val="minor"/>
      </rPr>
      <t xml:space="preserve"> is satisfied and the linear regression model is appropriate for the given data.</t>
    </r>
  </si>
  <si>
    <r>
      <t xml:space="preserve">Most data points lie </t>
    </r>
    <r>
      <rPr>
        <b/>
        <sz val="16"/>
        <color theme="1"/>
        <rFont val="Aptos Narrow"/>
        <family val="2"/>
        <scheme val="minor"/>
      </rPr>
      <t>very close to the regression line</t>
    </r>
  </si>
  <si>
    <r>
      <t xml:space="preserve">The fitted line shows an </t>
    </r>
    <r>
      <rPr>
        <b/>
        <sz val="16"/>
        <color theme="1"/>
        <rFont val="Aptos Narrow"/>
        <family val="2"/>
        <scheme val="minor"/>
      </rPr>
      <t>upward trend</t>
    </r>
  </si>
  <si>
    <r>
      <t xml:space="preserve">This confirms a </t>
    </r>
    <r>
      <rPr>
        <b/>
        <sz val="16"/>
        <color theme="1"/>
        <rFont val="Aptos Narrow"/>
        <family val="2"/>
        <scheme val="minor"/>
      </rPr>
      <t>strong positive linear relationship</t>
    </r>
    <r>
      <rPr>
        <sz val="16"/>
        <color theme="1"/>
        <rFont val="Aptos Narrow"/>
        <family val="2"/>
        <scheme val="minor"/>
      </rPr>
      <t xml:space="preserve"> between hours studied and exam scores and indicates a good fit of the regression model.</t>
    </r>
  </si>
  <si>
    <t>OVERALL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</si>
</sst>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/>
    <xf numFmtId="0" fontId="1" fillId="0" borderId="0" xfId="0" applyFont="1"/>
    <xf numFmtId="0" fontId="6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13" fillId="0" borderId="2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Continuous"/>
    </xf>
    <xf numFmtId="0" fontId="6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/>
    <xf numFmtId="0" fontId="9" fillId="0" borderId="0" xfId="0" applyFont="1"/>
    <xf numFmtId="0" fontId="4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DD-40F0-BA9A-54B46C31848F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DD-40F0-BA9A-54B46C31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D-405A-A32C-D3F765895D2A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D-405A-A32C-D3F76589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B-4B55-85E7-945767828A03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B-4B55-85E7-94576782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2</xdr:row>
      <xdr:rowOff>133350</xdr:rowOff>
    </xdr:from>
    <xdr:to>
      <xdr:col>16</xdr:col>
      <xdr:colOff>412750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546BF-0A7C-32FE-DC95-B9B7AEFC1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3</xdr:row>
      <xdr:rowOff>133350</xdr:rowOff>
    </xdr:from>
    <xdr:to>
      <xdr:col>16</xdr:col>
      <xdr:colOff>374650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A0910-1EF5-45A4-BB23-A55E6F4F5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3</xdr:row>
      <xdr:rowOff>133350</xdr:rowOff>
    </xdr:from>
    <xdr:to>
      <xdr:col>16</xdr:col>
      <xdr:colOff>412750</xdr:colOff>
      <xdr:row>15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EB949-DB9A-40E8-AF98-96B62616A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72C-E019-4E39-A960-99F0407FC89C}">
  <dimension ref="A1:F20"/>
  <sheetViews>
    <sheetView topLeftCell="A7" workbookViewId="0">
      <selection activeCell="E10" sqref="E10"/>
    </sheetView>
  </sheetViews>
  <sheetFormatPr defaultRowHeight="14.5" x14ac:dyDescent="0.35"/>
  <cols>
    <col min="1" max="1" width="16.81640625" customWidth="1"/>
  </cols>
  <sheetData>
    <row r="1" spans="1:6" ht="34.5" x14ac:dyDescent="0.8">
      <c r="A1" s="2" t="s">
        <v>0</v>
      </c>
    </row>
    <row r="2" spans="1:6" ht="23.5" x14ac:dyDescent="0.55000000000000004">
      <c r="A2" s="7" t="s">
        <v>9</v>
      </c>
      <c r="B2" s="7"/>
      <c r="C2" s="7"/>
      <c r="D2" s="7"/>
      <c r="E2" s="7"/>
      <c r="F2" s="7"/>
    </row>
    <row r="3" spans="1:6" ht="21" x14ac:dyDescent="0.45">
      <c r="A3" s="3" t="s">
        <v>1</v>
      </c>
      <c r="D3" s="5" t="s">
        <v>4</v>
      </c>
    </row>
    <row r="4" spans="1:6" ht="21" x14ac:dyDescent="0.4">
      <c r="A4" s="4">
        <v>40</v>
      </c>
      <c r="D4" s="1">
        <f>(A4-$B$12)/$B$13</f>
        <v>-1.4142135623730949</v>
      </c>
    </row>
    <row r="5" spans="1:6" ht="21" x14ac:dyDescent="0.4">
      <c r="A5" s="4">
        <v>45</v>
      </c>
      <c r="D5" s="1">
        <f t="shared" ref="D5:D8" si="0">(A5-$B$12)/$B$13</f>
        <v>-0.70710678118654746</v>
      </c>
    </row>
    <row r="6" spans="1:6" ht="21" x14ac:dyDescent="0.4">
      <c r="A6" s="4">
        <v>50</v>
      </c>
      <c r="D6" s="1">
        <f t="shared" si="0"/>
        <v>0</v>
      </c>
    </row>
    <row r="7" spans="1:6" ht="21" x14ac:dyDescent="0.4">
      <c r="A7" s="4">
        <v>55</v>
      </c>
      <c r="D7" s="1">
        <f t="shared" si="0"/>
        <v>0.70710678118654746</v>
      </c>
    </row>
    <row r="8" spans="1:6" ht="21" x14ac:dyDescent="0.4">
      <c r="A8" s="4">
        <v>60</v>
      </c>
      <c r="D8" s="1">
        <f t="shared" si="0"/>
        <v>1.4142135623730949</v>
      </c>
    </row>
    <row r="12" spans="1:6" ht="18.5" x14ac:dyDescent="0.45">
      <c r="A12" s="6" t="s">
        <v>2</v>
      </c>
      <c r="B12" s="5">
        <f>AVERAGE(A4:A8)</f>
        <v>50</v>
      </c>
    </row>
    <row r="13" spans="1:6" ht="18.5" x14ac:dyDescent="0.45">
      <c r="A13" s="6" t="s">
        <v>3</v>
      </c>
      <c r="B13" s="5">
        <f>_xlfn.STDEV.P(A4:A8)</f>
        <v>7.0710678118654755</v>
      </c>
    </row>
    <row r="15" spans="1:6" ht="23.5" x14ac:dyDescent="0.55000000000000004">
      <c r="B15" s="7" t="s">
        <v>5</v>
      </c>
    </row>
    <row r="17" spans="1:4" ht="23.5" x14ac:dyDescent="0.35">
      <c r="A17" s="8" t="s">
        <v>6</v>
      </c>
    </row>
    <row r="18" spans="1:4" x14ac:dyDescent="0.35">
      <c r="A18" s="9"/>
    </row>
    <row r="19" spans="1:4" ht="21" x14ac:dyDescent="0.5">
      <c r="A19" s="10" t="s">
        <v>7</v>
      </c>
      <c r="B19" s="11"/>
      <c r="C19" s="11"/>
      <c r="D19" s="11"/>
    </row>
    <row r="20" spans="1:4" ht="21" x14ac:dyDescent="0.5">
      <c r="A20" s="12" t="s">
        <v>8</v>
      </c>
      <c r="B20" s="11"/>
      <c r="C20" s="11"/>
      <c r="D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54C5-0D8C-4B44-BF72-E9515264A7C3}">
  <dimension ref="A1:B33"/>
  <sheetViews>
    <sheetView workbookViewId="0">
      <selection activeCell="A37" sqref="A37"/>
    </sheetView>
  </sheetViews>
  <sheetFormatPr defaultRowHeight="14.5" x14ac:dyDescent="0.35"/>
  <cols>
    <col min="1" max="1" width="10.81640625" customWidth="1"/>
  </cols>
  <sheetData>
    <row r="1" spans="1:2" ht="26" x14ac:dyDescent="0.6">
      <c r="A1" s="13" t="s">
        <v>10</v>
      </c>
    </row>
    <row r="3" spans="1:2" ht="55.5" x14ac:dyDescent="0.35">
      <c r="A3" s="14" t="s">
        <v>11</v>
      </c>
      <c r="B3" s="14" t="s">
        <v>12</v>
      </c>
    </row>
    <row r="4" spans="1:2" ht="18.5" x14ac:dyDescent="0.35">
      <c r="A4" s="15">
        <v>5</v>
      </c>
      <c r="B4" s="15">
        <v>42</v>
      </c>
    </row>
    <row r="5" spans="1:2" ht="18.5" x14ac:dyDescent="0.35">
      <c r="A5" s="15">
        <v>6</v>
      </c>
      <c r="B5" s="15">
        <v>45</v>
      </c>
    </row>
    <row r="6" spans="1:2" ht="18.5" x14ac:dyDescent="0.35">
      <c r="A6" s="15">
        <v>7</v>
      </c>
      <c r="B6" s="15">
        <v>47</v>
      </c>
    </row>
    <row r="7" spans="1:2" ht="18.5" x14ac:dyDescent="0.35">
      <c r="A7" s="15">
        <v>8</v>
      </c>
      <c r="B7" s="15">
        <v>49</v>
      </c>
    </row>
    <row r="8" spans="1:2" ht="18.5" x14ac:dyDescent="0.35">
      <c r="A8" s="15">
        <v>9</v>
      </c>
      <c r="B8" s="15">
        <v>50</v>
      </c>
    </row>
    <row r="9" spans="1:2" ht="18.5" x14ac:dyDescent="0.35">
      <c r="A9" s="15">
        <v>10</v>
      </c>
      <c r="B9" s="15">
        <v>52</v>
      </c>
    </row>
    <row r="10" spans="1:2" ht="18.5" x14ac:dyDescent="0.35">
      <c r="A10" s="15">
        <v>11</v>
      </c>
      <c r="B10" s="15">
        <v>54</v>
      </c>
    </row>
    <row r="11" spans="1:2" ht="18.5" x14ac:dyDescent="0.35">
      <c r="A11" s="15">
        <v>12</v>
      </c>
      <c r="B11" s="15">
        <v>56</v>
      </c>
    </row>
    <row r="12" spans="1:2" ht="18.5" x14ac:dyDescent="0.35">
      <c r="A12" s="15">
        <v>13</v>
      </c>
      <c r="B12" s="15">
        <v>58</v>
      </c>
    </row>
    <row r="13" spans="1:2" ht="18.5" x14ac:dyDescent="0.35">
      <c r="A13" s="15">
        <v>14</v>
      </c>
      <c r="B13" s="15">
        <v>60</v>
      </c>
    </row>
    <row r="14" spans="1:2" ht="18.5" x14ac:dyDescent="0.35">
      <c r="A14" s="15">
        <v>15</v>
      </c>
      <c r="B14" s="15">
        <v>62</v>
      </c>
    </row>
    <row r="15" spans="1:2" ht="18.5" x14ac:dyDescent="0.35">
      <c r="A15" s="15">
        <v>16</v>
      </c>
      <c r="B15" s="15">
        <v>64</v>
      </c>
    </row>
    <row r="16" spans="1:2" ht="18.5" x14ac:dyDescent="0.35">
      <c r="A16" s="15">
        <v>17</v>
      </c>
      <c r="B16" s="15">
        <v>66</v>
      </c>
    </row>
    <row r="17" spans="1:2" ht="18.5" x14ac:dyDescent="0.35">
      <c r="A17" s="15">
        <v>18</v>
      </c>
      <c r="B17" s="15">
        <v>68</v>
      </c>
    </row>
    <row r="18" spans="1:2" ht="18.5" x14ac:dyDescent="0.35">
      <c r="A18" s="15">
        <v>19</v>
      </c>
      <c r="B18" s="15">
        <v>70</v>
      </c>
    </row>
    <row r="19" spans="1:2" ht="18.5" x14ac:dyDescent="0.35">
      <c r="A19" s="15">
        <v>20</v>
      </c>
      <c r="B19" s="15">
        <v>72</v>
      </c>
    </row>
    <row r="20" spans="1:2" ht="18.5" x14ac:dyDescent="0.35">
      <c r="A20" s="15">
        <v>21</v>
      </c>
      <c r="B20" s="15">
        <v>74</v>
      </c>
    </row>
    <row r="21" spans="1:2" ht="18.5" x14ac:dyDescent="0.35">
      <c r="A21" s="15">
        <v>22</v>
      </c>
      <c r="B21" s="15">
        <v>76</v>
      </c>
    </row>
    <row r="22" spans="1:2" ht="18.5" x14ac:dyDescent="0.35">
      <c r="A22" s="15">
        <v>23</v>
      </c>
      <c r="B22" s="15">
        <v>78</v>
      </c>
    </row>
    <row r="23" spans="1:2" ht="18.5" x14ac:dyDescent="0.35">
      <c r="A23" s="15">
        <v>24</v>
      </c>
      <c r="B23" s="15">
        <v>80</v>
      </c>
    </row>
    <row r="24" spans="1:2" ht="18.5" x14ac:dyDescent="0.35">
      <c r="A24" s="15">
        <v>25</v>
      </c>
      <c r="B24" s="15">
        <v>82</v>
      </c>
    </row>
    <row r="25" spans="1:2" ht="18.5" x14ac:dyDescent="0.35">
      <c r="A25" s="15">
        <v>26</v>
      </c>
      <c r="B25" s="15">
        <v>84</v>
      </c>
    </row>
    <row r="26" spans="1:2" ht="18.5" x14ac:dyDescent="0.35">
      <c r="A26" s="15">
        <v>27</v>
      </c>
      <c r="B26" s="15">
        <v>86</v>
      </c>
    </row>
    <row r="27" spans="1:2" ht="18.5" x14ac:dyDescent="0.35">
      <c r="A27" s="15">
        <v>28</v>
      </c>
      <c r="B27" s="15">
        <v>88</v>
      </c>
    </row>
    <row r="28" spans="1:2" ht="18.5" x14ac:dyDescent="0.35">
      <c r="A28" s="15">
        <v>29</v>
      </c>
      <c r="B28" s="15">
        <v>90</v>
      </c>
    </row>
    <row r="29" spans="1:2" ht="18.5" x14ac:dyDescent="0.35">
      <c r="A29" s="15">
        <v>30</v>
      </c>
      <c r="B29" s="15">
        <v>92</v>
      </c>
    </row>
    <row r="30" spans="1:2" ht="18.5" x14ac:dyDescent="0.35">
      <c r="A30" s="15">
        <v>31</v>
      </c>
      <c r="B30" s="15">
        <v>94</v>
      </c>
    </row>
    <row r="31" spans="1:2" ht="18.5" x14ac:dyDescent="0.35">
      <c r="A31" s="15">
        <v>32</v>
      </c>
      <c r="B31" s="15">
        <v>95</v>
      </c>
    </row>
    <row r="32" spans="1:2" ht="18.5" x14ac:dyDescent="0.35">
      <c r="A32" s="15">
        <v>33</v>
      </c>
      <c r="B32" s="15">
        <v>96</v>
      </c>
    </row>
    <row r="33" spans="1:2" ht="18.5" x14ac:dyDescent="0.35">
      <c r="A33" s="15">
        <v>34</v>
      </c>
      <c r="B33" s="15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43B4-B18F-4EEC-889D-95784B7BA22D}">
  <dimension ref="A1:L72"/>
  <sheetViews>
    <sheetView tabSelected="1" workbookViewId="0">
      <selection activeCell="R6" sqref="R6"/>
    </sheetView>
  </sheetViews>
  <sheetFormatPr defaultRowHeight="14.5" x14ac:dyDescent="0.35"/>
  <sheetData>
    <row r="1" spans="1:9" x14ac:dyDescent="0.35">
      <c r="A1" t="s">
        <v>13</v>
      </c>
    </row>
    <row r="2" spans="1:9" ht="15" thickBot="1" x14ac:dyDescent="0.4"/>
    <row r="3" spans="1:9" x14ac:dyDescent="0.35">
      <c r="A3" s="19" t="s">
        <v>14</v>
      </c>
      <c r="B3" s="19"/>
    </row>
    <row r="4" spans="1:9" x14ac:dyDescent="0.35">
      <c r="A4" s="16" t="s">
        <v>15</v>
      </c>
      <c r="B4" s="16">
        <v>0.99983899741053028</v>
      </c>
    </row>
    <row r="5" spans="1:9" x14ac:dyDescent="0.35">
      <c r="A5" s="16" t="s">
        <v>16</v>
      </c>
      <c r="B5" s="16">
        <v>0.99967802074289447</v>
      </c>
    </row>
    <row r="6" spans="1:9" x14ac:dyDescent="0.35">
      <c r="A6" s="16" t="s">
        <v>17</v>
      </c>
      <c r="B6" s="16">
        <v>0.99966460494051512</v>
      </c>
    </row>
    <row r="7" spans="1:9" x14ac:dyDescent="0.35">
      <c r="A7" s="16" t="s">
        <v>18</v>
      </c>
      <c r="B7" s="16">
        <v>0.27688746209726645</v>
      </c>
    </row>
    <row r="8" spans="1:9" ht="15" thickBot="1" x14ac:dyDescent="0.4">
      <c r="A8" s="17" t="s">
        <v>19</v>
      </c>
      <c r="B8" s="17">
        <v>26</v>
      </c>
    </row>
    <row r="10" spans="1:9" ht="15" thickBot="1" x14ac:dyDescent="0.4">
      <c r="A10" t="s">
        <v>20</v>
      </c>
    </row>
    <row r="11" spans="1:9" x14ac:dyDescent="0.35">
      <c r="A11" s="18"/>
      <c r="B11" s="18" t="s">
        <v>25</v>
      </c>
      <c r="C11" s="18" t="s">
        <v>26</v>
      </c>
      <c r="D11" s="18" t="s">
        <v>27</v>
      </c>
      <c r="E11" s="18" t="s">
        <v>28</v>
      </c>
      <c r="F11" s="18" t="s">
        <v>29</v>
      </c>
    </row>
    <row r="12" spans="1:9" x14ac:dyDescent="0.35">
      <c r="A12" s="16" t="s">
        <v>21</v>
      </c>
      <c r="B12" s="16">
        <v>1</v>
      </c>
      <c r="C12" s="16">
        <v>5712.8138461538465</v>
      </c>
      <c r="D12" s="16">
        <v>5712.8138461538465</v>
      </c>
      <c r="E12" s="16">
        <v>74514.96321070382</v>
      </c>
      <c r="F12" s="16">
        <v>2.0012950562506066E-43</v>
      </c>
    </row>
    <row r="13" spans="1:9" x14ac:dyDescent="0.35">
      <c r="A13" s="16" t="s">
        <v>22</v>
      </c>
      <c r="B13" s="16">
        <v>24</v>
      </c>
      <c r="C13" s="16">
        <v>1.8399999999999637</v>
      </c>
      <c r="D13" s="16">
        <v>7.6666666666665148E-2</v>
      </c>
      <c r="E13" s="16"/>
      <c r="F13" s="16"/>
    </row>
    <row r="14" spans="1:9" ht="15" thickBot="1" x14ac:dyDescent="0.4">
      <c r="A14" s="17" t="s">
        <v>23</v>
      </c>
      <c r="B14" s="17">
        <v>25</v>
      </c>
      <c r="C14" s="17">
        <v>5714.6538461538466</v>
      </c>
      <c r="D14" s="17"/>
      <c r="E14" s="17"/>
      <c r="F14" s="17"/>
    </row>
    <row r="15" spans="1:9" ht="15" thickBot="1" x14ac:dyDescent="0.4"/>
    <row r="16" spans="1:9" x14ac:dyDescent="0.35">
      <c r="A16" s="18"/>
      <c r="B16" s="18" t="s">
        <v>30</v>
      </c>
      <c r="C16" s="18" t="s">
        <v>18</v>
      </c>
      <c r="D16" s="18" t="s">
        <v>31</v>
      </c>
      <c r="E16" s="18" t="s">
        <v>32</v>
      </c>
      <c r="F16" s="18" t="s">
        <v>33</v>
      </c>
      <c r="G16" s="18" t="s">
        <v>34</v>
      </c>
      <c r="H16" s="18" t="s">
        <v>35</v>
      </c>
      <c r="I16" s="18" t="s">
        <v>36</v>
      </c>
    </row>
    <row r="17" spans="1:9" x14ac:dyDescent="0.35">
      <c r="A17" s="16" t="s">
        <v>24</v>
      </c>
      <c r="B17" s="16">
        <v>32.551794871794876</v>
      </c>
      <c r="C17" s="16">
        <v>0.1445338316451483</v>
      </c>
      <c r="D17" s="16">
        <v>225.21920647419279</v>
      </c>
      <c r="E17" s="16">
        <v>2.0181159963226084E-41</v>
      </c>
      <c r="F17" s="16">
        <v>32.25349170455587</v>
      </c>
      <c r="G17" s="16">
        <v>32.850098039033881</v>
      </c>
      <c r="H17" s="16">
        <v>32.25349170455587</v>
      </c>
      <c r="I17" s="16">
        <v>32.850098039033881</v>
      </c>
    </row>
    <row r="18" spans="1:9" ht="15" thickBot="1" x14ac:dyDescent="0.4">
      <c r="A18" s="17">
        <v>5</v>
      </c>
      <c r="B18" s="17">
        <v>1.9764102564102559</v>
      </c>
      <c r="C18" s="17">
        <v>7.2402798579648403E-3</v>
      </c>
      <c r="D18" s="17">
        <v>272.97429038410155</v>
      </c>
      <c r="E18" s="17">
        <v>2.0012950562506066E-43</v>
      </c>
      <c r="F18" s="17">
        <v>1.961467053225618</v>
      </c>
      <c r="G18" s="17">
        <v>1.9913534595948938</v>
      </c>
      <c r="H18" s="17">
        <v>1.961467053225618</v>
      </c>
      <c r="I18" s="17">
        <v>1.9913534595948938</v>
      </c>
    </row>
    <row r="22" spans="1:9" x14ac:dyDescent="0.35">
      <c r="A22" t="s">
        <v>37</v>
      </c>
    </row>
    <row r="23" spans="1:9" ht="15" thickBot="1" x14ac:dyDescent="0.4"/>
    <row r="24" spans="1:9" x14ac:dyDescent="0.35">
      <c r="A24" s="18" t="s">
        <v>38</v>
      </c>
      <c r="B24" s="18" t="s">
        <v>39</v>
      </c>
      <c r="C24" s="18" t="s">
        <v>40</v>
      </c>
    </row>
    <row r="25" spans="1:9" x14ac:dyDescent="0.35">
      <c r="A25" s="16">
        <v>1</v>
      </c>
      <c r="B25" s="16">
        <v>44.410256410256409</v>
      </c>
      <c r="C25" s="16">
        <v>0.5897435897435912</v>
      </c>
    </row>
    <row r="26" spans="1:9" x14ac:dyDescent="0.35">
      <c r="A26" s="16">
        <v>2</v>
      </c>
      <c r="B26" s="16">
        <v>46.38666666666667</v>
      </c>
      <c r="C26" s="16">
        <v>0.61333333333332973</v>
      </c>
    </row>
    <row r="27" spans="1:9" x14ac:dyDescent="0.35">
      <c r="A27" s="16">
        <v>3</v>
      </c>
      <c r="B27" s="16">
        <v>48.363076923076925</v>
      </c>
      <c r="C27" s="16">
        <v>0.63692307692307537</v>
      </c>
    </row>
    <row r="28" spans="1:9" x14ac:dyDescent="0.35">
      <c r="A28" s="16">
        <v>4</v>
      </c>
      <c r="B28" s="16">
        <v>50.339487179487179</v>
      </c>
      <c r="C28" s="16">
        <v>-0.33948717948717899</v>
      </c>
    </row>
    <row r="29" spans="1:9" x14ac:dyDescent="0.35">
      <c r="A29" s="16">
        <v>5</v>
      </c>
      <c r="B29" s="16">
        <v>52.315897435897433</v>
      </c>
      <c r="C29" s="16">
        <v>-0.31589743589743335</v>
      </c>
    </row>
    <row r="30" spans="1:9" x14ac:dyDescent="0.35">
      <c r="A30" s="16">
        <v>6</v>
      </c>
      <c r="B30" s="16">
        <v>54.292307692307688</v>
      </c>
      <c r="C30" s="16">
        <v>-0.29230769230768772</v>
      </c>
    </row>
    <row r="31" spans="1:9" x14ac:dyDescent="0.35">
      <c r="A31" s="16">
        <v>7</v>
      </c>
      <c r="B31" s="16">
        <v>56.268717948717949</v>
      </c>
      <c r="C31" s="16">
        <v>-0.26871794871794918</v>
      </c>
    </row>
    <row r="32" spans="1:9" x14ac:dyDescent="0.35">
      <c r="A32" s="16">
        <v>8</v>
      </c>
      <c r="B32" s="16">
        <v>58.245128205128204</v>
      </c>
      <c r="C32" s="16">
        <v>-0.24512820512820355</v>
      </c>
    </row>
    <row r="33" spans="1:3" x14ac:dyDescent="0.35">
      <c r="A33" s="16">
        <v>9</v>
      </c>
      <c r="B33" s="16">
        <v>60.221538461538458</v>
      </c>
      <c r="C33" s="16">
        <v>-0.22153846153845791</v>
      </c>
    </row>
    <row r="34" spans="1:3" x14ac:dyDescent="0.35">
      <c r="A34" s="16">
        <v>10</v>
      </c>
      <c r="B34" s="16">
        <v>62.197948717948719</v>
      </c>
      <c r="C34" s="16">
        <v>-0.19794871794871938</v>
      </c>
    </row>
    <row r="35" spans="1:3" x14ac:dyDescent="0.35">
      <c r="A35" s="16">
        <v>11</v>
      </c>
      <c r="B35" s="16">
        <v>64.174358974358967</v>
      </c>
      <c r="C35" s="16">
        <v>-0.17435897435896663</v>
      </c>
    </row>
    <row r="36" spans="1:3" x14ac:dyDescent="0.35">
      <c r="A36" s="16">
        <v>12</v>
      </c>
      <c r="B36" s="16">
        <v>66.150769230769228</v>
      </c>
      <c r="C36" s="16">
        <v>-0.1507692307692281</v>
      </c>
    </row>
    <row r="37" spans="1:3" x14ac:dyDescent="0.35">
      <c r="A37" s="16">
        <v>13</v>
      </c>
      <c r="B37" s="16">
        <v>68.12717948717949</v>
      </c>
      <c r="C37" s="16">
        <v>-0.12717948717948957</v>
      </c>
    </row>
    <row r="38" spans="1:3" x14ac:dyDescent="0.35">
      <c r="A38" s="16">
        <v>14</v>
      </c>
      <c r="B38" s="16">
        <v>70.103589743589737</v>
      </c>
      <c r="C38" s="16">
        <v>-0.10358974358973683</v>
      </c>
    </row>
    <row r="39" spans="1:3" x14ac:dyDescent="0.35">
      <c r="A39" s="16">
        <v>15</v>
      </c>
      <c r="B39" s="16">
        <v>72.079999999999984</v>
      </c>
      <c r="C39" s="16">
        <v>-7.9999999999984084E-2</v>
      </c>
    </row>
    <row r="40" spans="1:3" x14ac:dyDescent="0.35">
      <c r="A40" s="16">
        <v>16</v>
      </c>
      <c r="B40" s="16">
        <v>74.05641025641026</v>
      </c>
      <c r="C40" s="16">
        <v>-5.6410256410259763E-2</v>
      </c>
    </row>
    <row r="41" spans="1:3" x14ac:dyDescent="0.35">
      <c r="A41" s="16">
        <v>17</v>
      </c>
      <c r="B41" s="16">
        <v>76.032820512820507</v>
      </c>
      <c r="C41" s="16">
        <v>-3.282051282050702E-2</v>
      </c>
    </row>
    <row r="42" spans="1:3" x14ac:dyDescent="0.35">
      <c r="A42" s="16">
        <v>18</v>
      </c>
      <c r="B42" s="16">
        <v>78.009230769230754</v>
      </c>
      <c r="C42" s="16">
        <v>-9.2307692307542766E-3</v>
      </c>
    </row>
    <row r="43" spans="1:3" x14ac:dyDescent="0.35">
      <c r="A43" s="16">
        <v>19</v>
      </c>
      <c r="B43" s="16">
        <v>79.985641025641016</v>
      </c>
      <c r="C43" s="16">
        <v>1.4358974358984256E-2</v>
      </c>
    </row>
    <row r="44" spans="1:3" x14ac:dyDescent="0.35">
      <c r="A44" s="16">
        <v>20</v>
      </c>
      <c r="B44" s="16">
        <v>81.962051282051277</v>
      </c>
      <c r="C44" s="16">
        <v>3.7948717948722788E-2</v>
      </c>
    </row>
    <row r="45" spans="1:3" x14ac:dyDescent="0.35">
      <c r="A45" s="16">
        <v>21</v>
      </c>
      <c r="B45" s="16">
        <v>83.938461538461524</v>
      </c>
      <c r="C45" s="16">
        <v>6.1538461538475531E-2</v>
      </c>
    </row>
    <row r="46" spans="1:3" x14ac:dyDescent="0.35">
      <c r="A46" s="16">
        <v>22</v>
      </c>
      <c r="B46" s="16">
        <v>85.914871794871786</v>
      </c>
      <c r="C46" s="16">
        <v>8.5128205128214063E-2</v>
      </c>
    </row>
    <row r="47" spans="1:3" x14ac:dyDescent="0.35">
      <c r="A47" s="16">
        <v>23</v>
      </c>
      <c r="B47" s="16">
        <v>87.891282051282047</v>
      </c>
      <c r="C47" s="16">
        <v>0.10871794871795259</v>
      </c>
    </row>
    <row r="48" spans="1:3" x14ac:dyDescent="0.35">
      <c r="A48" s="16">
        <v>24</v>
      </c>
      <c r="B48" s="16">
        <v>89.867692307692295</v>
      </c>
      <c r="C48" s="16">
        <v>0.13230769230770534</v>
      </c>
    </row>
    <row r="49" spans="1:3" x14ac:dyDescent="0.35">
      <c r="A49" s="16">
        <v>25</v>
      </c>
      <c r="B49" s="16">
        <v>91.844102564102556</v>
      </c>
      <c r="C49" s="16">
        <v>0.15589743589744387</v>
      </c>
    </row>
    <row r="50" spans="1:3" ht="15" thickBot="1" x14ac:dyDescent="0.4">
      <c r="A50" s="17">
        <v>26</v>
      </c>
      <c r="B50" s="17">
        <v>93.820512820512818</v>
      </c>
      <c r="C50" s="17">
        <v>0.1794871794871824</v>
      </c>
    </row>
    <row r="53" spans="1:3" ht="23.5" x14ac:dyDescent="0.35">
      <c r="A53" s="8" t="s">
        <v>41</v>
      </c>
    </row>
    <row r="55" spans="1:3" ht="23.5" x14ac:dyDescent="0.55000000000000004">
      <c r="A55" s="7" t="s">
        <v>43</v>
      </c>
      <c r="B55" s="7"/>
      <c r="C55" s="7"/>
    </row>
    <row r="56" spans="1:3" ht="23.5" x14ac:dyDescent="0.55000000000000004">
      <c r="A56" s="7"/>
      <c r="B56" s="7"/>
      <c r="C56" s="7"/>
    </row>
    <row r="57" spans="1:3" ht="23.5" x14ac:dyDescent="0.55000000000000004">
      <c r="A57" s="7" t="s">
        <v>42</v>
      </c>
      <c r="B57" s="7"/>
      <c r="C57" s="7"/>
    </row>
    <row r="58" spans="1:3" ht="23.5" x14ac:dyDescent="0.55000000000000004">
      <c r="A58" s="20"/>
      <c r="B58" s="7"/>
      <c r="C58" s="7"/>
    </row>
    <row r="59" spans="1:3" ht="23.5" x14ac:dyDescent="0.55000000000000004">
      <c r="A59" s="21" t="s">
        <v>50</v>
      </c>
      <c r="B59" s="7"/>
      <c r="C59" s="7"/>
    </row>
    <row r="60" spans="1:3" ht="23.5" x14ac:dyDescent="0.55000000000000004">
      <c r="A60" s="20"/>
      <c r="B60" s="7"/>
      <c r="C60" s="7"/>
    </row>
    <row r="61" spans="1:3" ht="23.5" x14ac:dyDescent="0.55000000000000004">
      <c r="A61" s="21" t="s">
        <v>51</v>
      </c>
      <c r="B61" s="7"/>
      <c r="C61" s="7"/>
    </row>
    <row r="62" spans="1:3" ht="23.5" x14ac:dyDescent="0.55000000000000004">
      <c r="A62" s="7"/>
      <c r="B62" s="7"/>
      <c r="C62" s="7"/>
    </row>
    <row r="63" spans="1:3" ht="23.5" x14ac:dyDescent="0.55000000000000004">
      <c r="A63" s="7" t="s">
        <v>44</v>
      </c>
      <c r="B63" s="7"/>
      <c r="C63" s="7"/>
    </row>
    <row r="65" spans="1:12" ht="23.5" x14ac:dyDescent="0.55000000000000004">
      <c r="A65" s="22" t="s">
        <v>45</v>
      </c>
      <c r="B65" s="22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23.5" x14ac:dyDescent="0.5500000000000000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23.5" x14ac:dyDescent="0.55000000000000004">
      <c r="A67" s="7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23.5" x14ac:dyDescent="0.55000000000000004">
      <c r="A68" s="7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70" spans="1:12" ht="23.5" x14ac:dyDescent="0.35">
      <c r="A70" s="8" t="s">
        <v>46</v>
      </c>
    </row>
    <row r="71" spans="1:12" x14ac:dyDescent="0.35">
      <c r="A71" s="9"/>
    </row>
    <row r="72" spans="1:12" ht="23.5" x14ac:dyDescent="0.55000000000000004">
      <c r="A72" s="20" t="s">
        <v>47</v>
      </c>
      <c r="B72" s="7"/>
      <c r="C72" s="7"/>
      <c r="D72" s="7"/>
      <c r="E72" s="7"/>
      <c r="F72" s="7"/>
      <c r="G72" s="7"/>
      <c r="H72" s="7"/>
      <c r="I72" s="7"/>
      <c r="J72" s="7"/>
      <c r="K72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D350-6F42-48AC-BB66-44509D6B3EA8}">
  <dimension ref="A1:B31"/>
  <sheetViews>
    <sheetView topLeftCell="A22" workbookViewId="0">
      <selection activeCell="A30" sqref="A30:A31"/>
    </sheetView>
  </sheetViews>
  <sheetFormatPr defaultRowHeight="14.5" x14ac:dyDescent="0.35"/>
  <sheetData>
    <row r="1" spans="1:1" ht="31" x14ac:dyDescent="0.7">
      <c r="A1" s="23" t="s">
        <v>52</v>
      </c>
    </row>
    <row r="4" spans="1:1" ht="21" x14ac:dyDescent="0.35">
      <c r="A4" s="24" t="s">
        <v>53</v>
      </c>
    </row>
    <row r="5" spans="1:1" ht="21" x14ac:dyDescent="0.5">
      <c r="A5" s="11"/>
    </row>
    <row r="6" spans="1:1" ht="21" x14ac:dyDescent="0.35">
      <c r="A6" s="24" t="s">
        <v>54</v>
      </c>
    </row>
    <row r="7" spans="1:1" ht="21" x14ac:dyDescent="0.5">
      <c r="A7" s="11"/>
    </row>
    <row r="8" spans="1:1" ht="21" x14ac:dyDescent="0.5">
      <c r="A8" s="11" t="s">
        <v>56</v>
      </c>
    </row>
    <row r="9" spans="1:1" ht="21" x14ac:dyDescent="0.5">
      <c r="A9" s="11" t="s">
        <v>57</v>
      </c>
    </row>
    <row r="10" spans="1:1" ht="21" x14ac:dyDescent="0.5">
      <c r="A10" s="11"/>
    </row>
    <row r="11" spans="1:1" ht="21" x14ac:dyDescent="0.35">
      <c r="A11" s="24" t="s">
        <v>55</v>
      </c>
    </row>
    <row r="12" spans="1:1" ht="21" x14ac:dyDescent="0.5">
      <c r="A12" s="11"/>
    </row>
    <row r="13" spans="1:1" ht="21" x14ac:dyDescent="0.5">
      <c r="A13" s="11" t="s">
        <v>58</v>
      </c>
    </row>
    <row r="14" spans="1:1" ht="21" x14ac:dyDescent="0.5">
      <c r="A14" s="11" t="s">
        <v>59</v>
      </c>
    </row>
    <row r="15" spans="1:1" ht="21" x14ac:dyDescent="0.35">
      <c r="A15" s="10"/>
    </row>
    <row r="16" spans="1:1" ht="21" x14ac:dyDescent="0.35">
      <c r="A16" s="10" t="s">
        <v>60</v>
      </c>
    </row>
    <row r="18" spans="1:2" ht="21" x14ac:dyDescent="0.35">
      <c r="A18" s="24" t="s">
        <v>61</v>
      </c>
    </row>
    <row r="19" spans="1:2" ht="21" x14ac:dyDescent="0.5">
      <c r="A19" s="11"/>
    </row>
    <row r="20" spans="1:2" ht="21" x14ac:dyDescent="0.5">
      <c r="A20" s="11" t="s">
        <v>63</v>
      </c>
    </row>
    <row r="21" spans="1:2" ht="21" x14ac:dyDescent="0.5">
      <c r="A21" s="11"/>
    </row>
    <row r="22" spans="1:2" ht="21" x14ac:dyDescent="0.5">
      <c r="A22" s="11" t="s">
        <v>64</v>
      </c>
    </row>
    <row r="23" spans="1:2" ht="21" x14ac:dyDescent="0.35">
      <c r="A23" s="10"/>
    </row>
    <row r="24" spans="1:2" ht="21" x14ac:dyDescent="0.35">
      <c r="A24" s="10" t="s">
        <v>62</v>
      </c>
    </row>
    <row r="25" spans="1:2" ht="21" x14ac:dyDescent="0.35">
      <c r="A25" s="10"/>
    </row>
    <row r="26" spans="1:2" ht="21" x14ac:dyDescent="0.35">
      <c r="A26" s="10" t="s">
        <v>65</v>
      </c>
    </row>
    <row r="28" spans="1:2" ht="23.5" x14ac:dyDescent="0.55000000000000004">
      <c r="A28" s="22" t="s">
        <v>66</v>
      </c>
      <c r="B28" s="22"/>
    </row>
    <row r="30" spans="1:2" ht="23.5" x14ac:dyDescent="0.55000000000000004">
      <c r="A30" s="7" t="s">
        <v>67</v>
      </c>
    </row>
    <row r="31" spans="1:2" ht="23.5" x14ac:dyDescent="0.55000000000000004">
      <c r="A31" s="7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5697-32BD-4344-A2B2-A82EA69AFD03}">
  <dimension ref="A1:L69"/>
  <sheetViews>
    <sheetView topLeftCell="A63" workbookViewId="0">
      <selection activeCell="E6" sqref="E6"/>
    </sheetView>
  </sheetViews>
  <sheetFormatPr defaultRowHeight="14.5" x14ac:dyDescent="0.35"/>
  <sheetData>
    <row r="1" spans="1:6" ht="31" x14ac:dyDescent="0.7">
      <c r="A1" s="23" t="s">
        <v>69</v>
      </c>
    </row>
    <row r="2" spans="1:6" x14ac:dyDescent="0.35">
      <c r="A2" t="s">
        <v>13</v>
      </c>
    </row>
    <row r="3" spans="1:6" ht="15" thickBot="1" x14ac:dyDescent="0.4"/>
    <row r="4" spans="1:6" x14ac:dyDescent="0.35">
      <c r="A4" s="19" t="s">
        <v>14</v>
      </c>
      <c r="B4" s="19"/>
    </row>
    <row r="5" spans="1:6" x14ac:dyDescent="0.35">
      <c r="A5" s="16" t="s">
        <v>15</v>
      </c>
      <c r="B5" s="16">
        <v>0.99983899741053028</v>
      </c>
    </row>
    <row r="6" spans="1:6" x14ac:dyDescent="0.35">
      <c r="A6" s="16" t="s">
        <v>16</v>
      </c>
      <c r="B6" s="16">
        <v>0.99967802074289447</v>
      </c>
    </row>
    <row r="7" spans="1:6" x14ac:dyDescent="0.35">
      <c r="A7" s="16" t="s">
        <v>17</v>
      </c>
      <c r="B7" s="16">
        <v>0.99966460494051512</v>
      </c>
    </row>
    <row r="8" spans="1:6" x14ac:dyDescent="0.35">
      <c r="A8" s="16" t="s">
        <v>18</v>
      </c>
      <c r="B8" s="16">
        <v>0.27688746209726645</v>
      </c>
    </row>
    <row r="9" spans="1:6" ht="15" thickBot="1" x14ac:dyDescent="0.4">
      <c r="A9" s="17" t="s">
        <v>19</v>
      </c>
      <c r="B9" s="17">
        <v>26</v>
      </c>
    </row>
    <row r="11" spans="1:6" ht="15" thickBot="1" x14ac:dyDescent="0.4">
      <c r="A11" t="s">
        <v>20</v>
      </c>
    </row>
    <row r="12" spans="1:6" x14ac:dyDescent="0.35">
      <c r="A12" s="18"/>
      <c r="B12" s="18" t="s">
        <v>25</v>
      </c>
      <c r="C12" s="18" t="s">
        <v>26</v>
      </c>
      <c r="D12" s="18" t="s">
        <v>27</v>
      </c>
      <c r="E12" s="18" t="s">
        <v>28</v>
      </c>
      <c r="F12" s="18" t="s">
        <v>29</v>
      </c>
    </row>
    <row r="13" spans="1:6" x14ac:dyDescent="0.35">
      <c r="A13" s="16" t="s">
        <v>21</v>
      </c>
      <c r="B13" s="16">
        <v>1</v>
      </c>
      <c r="C13" s="16">
        <v>5712.8138461538465</v>
      </c>
      <c r="D13" s="16">
        <v>5712.8138461538465</v>
      </c>
      <c r="E13" s="16">
        <v>74514.96321070382</v>
      </c>
      <c r="F13" s="16">
        <v>2.0012950562506066E-43</v>
      </c>
    </row>
    <row r="14" spans="1:6" x14ac:dyDescent="0.35">
      <c r="A14" s="16" t="s">
        <v>22</v>
      </c>
      <c r="B14" s="16">
        <v>24</v>
      </c>
      <c r="C14" s="16">
        <v>1.8399999999999637</v>
      </c>
      <c r="D14" s="16">
        <v>7.6666666666665148E-2</v>
      </c>
      <c r="E14" s="16"/>
      <c r="F14" s="16"/>
    </row>
    <row r="15" spans="1:6" ht="15" thickBot="1" x14ac:dyDescent="0.4">
      <c r="A15" s="17" t="s">
        <v>23</v>
      </c>
      <c r="B15" s="17">
        <v>25</v>
      </c>
      <c r="C15" s="17">
        <v>5714.6538461538466</v>
      </c>
      <c r="D15" s="17"/>
      <c r="E15" s="17"/>
      <c r="F15" s="17"/>
    </row>
    <row r="16" spans="1:6" ht="15" thickBot="1" x14ac:dyDescent="0.4"/>
    <row r="17" spans="1:9" x14ac:dyDescent="0.35">
      <c r="A17" s="18"/>
      <c r="B17" s="18" t="s">
        <v>30</v>
      </c>
      <c r="C17" s="18" t="s">
        <v>18</v>
      </c>
      <c r="D17" s="18" t="s">
        <v>31</v>
      </c>
      <c r="E17" s="18" t="s">
        <v>32</v>
      </c>
      <c r="F17" s="18" t="s">
        <v>33</v>
      </c>
      <c r="G17" s="18" t="s">
        <v>34</v>
      </c>
      <c r="H17" s="18" t="s">
        <v>35</v>
      </c>
      <c r="I17" s="18" t="s">
        <v>36</v>
      </c>
    </row>
    <row r="18" spans="1:9" x14ac:dyDescent="0.35">
      <c r="A18" s="16" t="s">
        <v>24</v>
      </c>
      <c r="B18" s="16">
        <v>32.551794871794876</v>
      </c>
      <c r="C18" s="16">
        <v>0.1445338316451483</v>
      </c>
      <c r="D18" s="16">
        <v>225.21920647419279</v>
      </c>
      <c r="E18" s="16">
        <v>2.0181159963226084E-41</v>
      </c>
      <c r="F18" s="16">
        <v>32.25349170455587</v>
      </c>
      <c r="G18" s="16">
        <v>32.850098039033881</v>
      </c>
      <c r="H18" s="16">
        <v>32.25349170455587</v>
      </c>
      <c r="I18" s="16">
        <v>32.850098039033881</v>
      </c>
    </row>
    <row r="19" spans="1:9" ht="15" thickBot="1" x14ac:dyDescent="0.4">
      <c r="A19" s="17">
        <v>5</v>
      </c>
      <c r="B19" s="17">
        <v>1.9764102564102559</v>
      </c>
      <c r="C19" s="17">
        <v>7.2402798579648403E-3</v>
      </c>
      <c r="D19" s="17">
        <v>272.97429038410155</v>
      </c>
      <c r="E19" s="17">
        <v>2.0012950562506066E-43</v>
      </c>
      <c r="F19" s="17">
        <v>1.961467053225618</v>
      </c>
      <c r="G19" s="17">
        <v>1.9913534595948938</v>
      </c>
      <c r="H19" s="17">
        <v>1.961467053225618</v>
      </c>
      <c r="I19" s="17">
        <v>1.9913534595948938</v>
      </c>
    </row>
    <row r="23" spans="1:9" x14ac:dyDescent="0.35">
      <c r="A23" t="s">
        <v>37</v>
      </c>
    </row>
    <row r="24" spans="1:9" ht="15" thickBot="1" x14ac:dyDescent="0.4"/>
    <row r="25" spans="1:9" x14ac:dyDescent="0.35">
      <c r="A25" s="18" t="s">
        <v>38</v>
      </c>
      <c r="B25" s="18" t="s">
        <v>39</v>
      </c>
      <c r="C25" s="18" t="s">
        <v>40</v>
      </c>
    </row>
    <row r="26" spans="1:9" x14ac:dyDescent="0.35">
      <c r="A26" s="16">
        <v>1</v>
      </c>
      <c r="B26" s="16">
        <v>44.410256410256409</v>
      </c>
      <c r="C26" s="16">
        <v>0.5897435897435912</v>
      </c>
    </row>
    <row r="27" spans="1:9" x14ac:dyDescent="0.35">
      <c r="A27" s="16">
        <v>2</v>
      </c>
      <c r="B27" s="16">
        <v>46.38666666666667</v>
      </c>
      <c r="C27" s="16">
        <v>0.61333333333332973</v>
      </c>
    </row>
    <row r="28" spans="1:9" x14ac:dyDescent="0.35">
      <c r="A28" s="16">
        <v>3</v>
      </c>
      <c r="B28" s="16">
        <v>48.363076923076925</v>
      </c>
      <c r="C28" s="16">
        <v>0.63692307692307537</v>
      </c>
    </row>
    <row r="29" spans="1:9" x14ac:dyDescent="0.35">
      <c r="A29" s="16">
        <v>4</v>
      </c>
      <c r="B29" s="16">
        <v>50.339487179487179</v>
      </c>
      <c r="C29" s="16">
        <v>-0.33948717948717899</v>
      </c>
    </row>
    <row r="30" spans="1:9" x14ac:dyDescent="0.35">
      <c r="A30" s="16">
        <v>5</v>
      </c>
      <c r="B30" s="16">
        <v>52.315897435897433</v>
      </c>
      <c r="C30" s="16">
        <v>-0.31589743589743335</v>
      </c>
    </row>
    <row r="31" spans="1:9" x14ac:dyDescent="0.35">
      <c r="A31" s="16">
        <v>6</v>
      </c>
      <c r="B31" s="16">
        <v>54.292307692307688</v>
      </c>
      <c r="C31" s="16">
        <v>-0.29230769230768772</v>
      </c>
    </row>
    <row r="32" spans="1:9" x14ac:dyDescent="0.35">
      <c r="A32" s="16">
        <v>7</v>
      </c>
      <c r="B32" s="16">
        <v>56.268717948717949</v>
      </c>
      <c r="C32" s="16">
        <v>-0.26871794871794918</v>
      </c>
    </row>
    <row r="33" spans="1:3" x14ac:dyDescent="0.35">
      <c r="A33" s="16">
        <v>8</v>
      </c>
      <c r="B33" s="16">
        <v>58.245128205128204</v>
      </c>
      <c r="C33" s="16">
        <v>-0.24512820512820355</v>
      </c>
    </row>
    <row r="34" spans="1:3" x14ac:dyDescent="0.35">
      <c r="A34" s="16">
        <v>9</v>
      </c>
      <c r="B34" s="16">
        <v>60.221538461538458</v>
      </c>
      <c r="C34" s="16">
        <v>-0.22153846153845791</v>
      </c>
    </row>
    <row r="35" spans="1:3" x14ac:dyDescent="0.35">
      <c r="A35" s="16">
        <v>10</v>
      </c>
      <c r="B35" s="16">
        <v>62.197948717948719</v>
      </c>
      <c r="C35" s="16">
        <v>-0.19794871794871938</v>
      </c>
    </row>
    <row r="36" spans="1:3" x14ac:dyDescent="0.35">
      <c r="A36" s="16">
        <v>11</v>
      </c>
      <c r="B36" s="16">
        <v>64.174358974358967</v>
      </c>
      <c r="C36" s="16">
        <v>-0.17435897435896663</v>
      </c>
    </row>
    <row r="37" spans="1:3" x14ac:dyDescent="0.35">
      <c r="A37" s="16">
        <v>12</v>
      </c>
      <c r="B37" s="16">
        <v>66.150769230769228</v>
      </c>
      <c r="C37" s="16">
        <v>-0.1507692307692281</v>
      </c>
    </row>
    <row r="38" spans="1:3" x14ac:dyDescent="0.35">
      <c r="A38" s="16">
        <v>13</v>
      </c>
      <c r="B38" s="16">
        <v>68.12717948717949</v>
      </c>
      <c r="C38" s="16">
        <v>-0.12717948717948957</v>
      </c>
    </row>
    <row r="39" spans="1:3" x14ac:dyDescent="0.35">
      <c r="A39" s="16">
        <v>14</v>
      </c>
      <c r="B39" s="16">
        <v>70.103589743589737</v>
      </c>
      <c r="C39" s="16">
        <v>-0.10358974358973683</v>
      </c>
    </row>
    <row r="40" spans="1:3" x14ac:dyDescent="0.35">
      <c r="A40" s="16">
        <v>15</v>
      </c>
      <c r="B40" s="16">
        <v>72.079999999999984</v>
      </c>
      <c r="C40" s="16">
        <v>-7.9999999999984084E-2</v>
      </c>
    </row>
    <row r="41" spans="1:3" x14ac:dyDescent="0.35">
      <c r="A41" s="16">
        <v>16</v>
      </c>
      <c r="B41" s="16">
        <v>74.05641025641026</v>
      </c>
      <c r="C41" s="16">
        <v>-5.6410256410259763E-2</v>
      </c>
    </row>
    <row r="42" spans="1:3" x14ac:dyDescent="0.35">
      <c r="A42" s="16">
        <v>17</v>
      </c>
      <c r="B42" s="16">
        <v>76.032820512820507</v>
      </c>
      <c r="C42" s="16">
        <v>-3.282051282050702E-2</v>
      </c>
    </row>
    <row r="43" spans="1:3" x14ac:dyDescent="0.35">
      <c r="A43" s="16">
        <v>18</v>
      </c>
      <c r="B43" s="16">
        <v>78.009230769230754</v>
      </c>
      <c r="C43" s="16">
        <v>-9.2307692307542766E-3</v>
      </c>
    </row>
    <row r="44" spans="1:3" x14ac:dyDescent="0.35">
      <c r="A44" s="16">
        <v>19</v>
      </c>
      <c r="B44" s="16">
        <v>79.985641025641016</v>
      </c>
      <c r="C44" s="16">
        <v>1.4358974358984256E-2</v>
      </c>
    </row>
    <row r="45" spans="1:3" x14ac:dyDescent="0.35">
      <c r="A45" s="16">
        <v>20</v>
      </c>
      <c r="B45" s="16">
        <v>81.962051282051277</v>
      </c>
      <c r="C45" s="16">
        <v>3.7948717948722788E-2</v>
      </c>
    </row>
    <row r="46" spans="1:3" x14ac:dyDescent="0.35">
      <c r="A46" s="16">
        <v>21</v>
      </c>
      <c r="B46" s="16">
        <v>83.938461538461524</v>
      </c>
      <c r="C46" s="16">
        <v>6.1538461538475531E-2</v>
      </c>
    </row>
    <row r="47" spans="1:3" x14ac:dyDescent="0.35">
      <c r="A47" s="16">
        <v>22</v>
      </c>
      <c r="B47" s="16">
        <v>85.914871794871786</v>
      </c>
      <c r="C47" s="16">
        <v>8.5128205128214063E-2</v>
      </c>
    </row>
    <row r="48" spans="1:3" x14ac:dyDescent="0.35">
      <c r="A48" s="16">
        <v>23</v>
      </c>
      <c r="B48" s="16">
        <v>87.891282051282047</v>
      </c>
      <c r="C48" s="16">
        <v>0.10871794871795259</v>
      </c>
    </row>
    <row r="49" spans="1:3" x14ac:dyDescent="0.35">
      <c r="A49" s="16">
        <v>24</v>
      </c>
      <c r="B49" s="16">
        <v>89.867692307692295</v>
      </c>
      <c r="C49" s="16">
        <v>0.13230769230770534</v>
      </c>
    </row>
    <row r="50" spans="1:3" x14ac:dyDescent="0.35">
      <c r="A50" s="16">
        <v>25</v>
      </c>
      <c r="B50" s="16">
        <v>91.844102564102556</v>
      </c>
      <c r="C50" s="16">
        <v>0.15589743589744387</v>
      </c>
    </row>
    <row r="51" spans="1:3" ht="15" thickBot="1" x14ac:dyDescent="0.4">
      <c r="A51" s="17">
        <v>26</v>
      </c>
      <c r="B51" s="17">
        <v>93.820512820512818</v>
      </c>
      <c r="C51" s="17">
        <v>0.1794871794871824</v>
      </c>
    </row>
    <row r="54" spans="1:3" ht="23.5" x14ac:dyDescent="0.35">
      <c r="A54" s="8" t="s">
        <v>41</v>
      </c>
    </row>
    <row r="56" spans="1:3" ht="23.5" x14ac:dyDescent="0.55000000000000004">
      <c r="A56" s="7" t="s">
        <v>43</v>
      </c>
      <c r="B56" s="7"/>
      <c r="C56" s="7"/>
    </row>
    <row r="57" spans="1:3" ht="23.5" x14ac:dyDescent="0.55000000000000004">
      <c r="A57" s="7"/>
      <c r="B57" s="7"/>
      <c r="C57" s="7"/>
    </row>
    <row r="58" spans="1:3" ht="23.5" x14ac:dyDescent="0.55000000000000004">
      <c r="A58" s="7" t="s">
        <v>42</v>
      </c>
      <c r="B58" s="7"/>
      <c r="C58" s="7"/>
    </row>
    <row r="59" spans="1:3" ht="23.5" x14ac:dyDescent="0.55000000000000004">
      <c r="A59" s="20"/>
      <c r="B59" s="7"/>
      <c r="C59" s="7"/>
    </row>
    <row r="60" spans="1:3" ht="23.5" x14ac:dyDescent="0.55000000000000004">
      <c r="A60" s="21" t="s">
        <v>50</v>
      </c>
      <c r="B60" s="7"/>
      <c r="C60" s="7"/>
    </row>
    <row r="61" spans="1:3" ht="23.5" x14ac:dyDescent="0.55000000000000004">
      <c r="A61" s="20"/>
      <c r="B61" s="7"/>
      <c r="C61" s="7"/>
    </row>
    <row r="62" spans="1:3" ht="23.5" x14ac:dyDescent="0.55000000000000004">
      <c r="A62" s="21" t="s">
        <v>51</v>
      </c>
      <c r="B62" s="7"/>
      <c r="C62" s="7"/>
    </row>
    <row r="63" spans="1:3" ht="23.5" x14ac:dyDescent="0.55000000000000004">
      <c r="A63" s="7"/>
      <c r="B63" s="7"/>
      <c r="C63" s="7"/>
    </row>
    <row r="64" spans="1:3" ht="23.5" x14ac:dyDescent="0.55000000000000004">
      <c r="A64" s="7" t="s">
        <v>44</v>
      </c>
      <c r="B64" s="7"/>
      <c r="C64" s="7"/>
    </row>
    <row r="66" spans="1:12" ht="23.5" x14ac:dyDescent="0.55000000000000004">
      <c r="A66" s="22" t="s">
        <v>45</v>
      </c>
      <c r="B66" s="22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23.5" x14ac:dyDescent="0.5500000000000000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23.5" x14ac:dyDescent="0.55000000000000004">
      <c r="A68" s="7" t="s">
        <v>48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23.5" x14ac:dyDescent="0.55000000000000004">
      <c r="A69" s="7" t="s">
        <v>49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DF7F-A9FE-4ECC-B79D-BCD64EAC305D}">
  <dimension ref="A1:B52"/>
  <sheetViews>
    <sheetView topLeftCell="A25" workbookViewId="0">
      <selection activeCell="G42" sqref="G42"/>
    </sheetView>
  </sheetViews>
  <sheetFormatPr defaultRowHeight="14.5" x14ac:dyDescent="0.35"/>
  <sheetData>
    <row r="1" spans="1:2" ht="28.5" x14ac:dyDescent="0.65">
      <c r="A1" s="25" t="s">
        <v>70</v>
      </c>
    </row>
    <row r="3" spans="1:2" ht="21" x14ac:dyDescent="0.5">
      <c r="A3" s="24" t="s">
        <v>71</v>
      </c>
      <c r="B3" s="11"/>
    </row>
    <row r="4" spans="1:2" ht="21" x14ac:dyDescent="0.5">
      <c r="A4" s="11"/>
      <c r="B4" s="11"/>
    </row>
    <row r="5" spans="1:2" ht="21" x14ac:dyDescent="0.5">
      <c r="A5" s="11" t="s">
        <v>80</v>
      </c>
      <c r="B5" s="11"/>
    </row>
    <row r="6" spans="1:2" ht="21" x14ac:dyDescent="0.5">
      <c r="A6" s="11"/>
      <c r="B6" s="11"/>
    </row>
    <row r="7" spans="1:2" ht="21" x14ac:dyDescent="0.5">
      <c r="A7" s="24" t="s">
        <v>72</v>
      </c>
      <c r="B7" s="11"/>
    </row>
    <row r="8" spans="1:2" ht="21" x14ac:dyDescent="0.5">
      <c r="A8" s="10"/>
      <c r="B8" s="11"/>
    </row>
    <row r="9" spans="1:2" ht="21" x14ac:dyDescent="0.5">
      <c r="A9" s="10" t="s">
        <v>81</v>
      </c>
      <c r="B9" s="11"/>
    </row>
    <row r="10" spans="1:2" ht="21" x14ac:dyDescent="0.5">
      <c r="A10" s="10"/>
      <c r="B10" s="11"/>
    </row>
    <row r="11" spans="1:2" ht="21" x14ac:dyDescent="0.5">
      <c r="A11" s="10" t="s">
        <v>82</v>
      </c>
      <c r="B11" s="11"/>
    </row>
    <row r="12" spans="1:2" ht="21" x14ac:dyDescent="0.5">
      <c r="A12" s="10"/>
      <c r="B12" s="11"/>
    </row>
    <row r="13" spans="1:2" ht="21" x14ac:dyDescent="0.5">
      <c r="A13" s="10" t="s">
        <v>73</v>
      </c>
      <c r="B13" s="11"/>
    </row>
    <row r="14" spans="1:2" ht="21" x14ac:dyDescent="0.5">
      <c r="A14" s="11"/>
      <c r="B14" s="11"/>
    </row>
    <row r="15" spans="1:2" ht="21" x14ac:dyDescent="0.5">
      <c r="A15" s="24" t="s">
        <v>74</v>
      </c>
      <c r="B15" s="11"/>
    </row>
    <row r="16" spans="1:2" ht="21" x14ac:dyDescent="0.5">
      <c r="A16" s="10"/>
      <c r="B16" s="11"/>
    </row>
    <row r="17" spans="1:2" ht="21" x14ac:dyDescent="0.5">
      <c r="A17" s="10" t="s">
        <v>83</v>
      </c>
      <c r="B17" s="11"/>
    </row>
    <row r="18" spans="1:2" ht="21" x14ac:dyDescent="0.5">
      <c r="A18" s="11"/>
      <c r="B18" s="11"/>
    </row>
    <row r="19" spans="1:2" ht="21" x14ac:dyDescent="0.5">
      <c r="A19" s="11"/>
      <c r="B19" s="11"/>
    </row>
    <row r="20" spans="1:2" ht="21" x14ac:dyDescent="0.5">
      <c r="A20" s="11"/>
      <c r="B20" s="11"/>
    </row>
    <row r="21" spans="1:2" ht="21" x14ac:dyDescent="0.5">
      <c r="A21" s="24" t="s">
        <v>75</v>
      </c>
      <c r="B21" s="11"/>
    </row>
    <row r="22" spans="1:2" ht="21" x14ac:dyDescent="0.5">
      <c r="A22" s="11"/>
      <c r="B22" s="11"/>
    </row>
    <row r="23" spans="1:2" ht="21" x14ac:dyDescent="0.5">
      <c r="A23" s="11" t="s">
        <v>76</v>
      </c>
      <c r="B23" s="11"/>
    </row>
    <row r="24" spans="1:2" ht="21" x14ac:dyDescent="0.5">
      <c r="A24" s="10"/>
      <c r="B24" s="11"/>
    </row>
    <row r="25" spans="1:2" ht="21" x14ac:dyDescent="0.5">
      <c r="A25" s="10" t="s">
        <v>77</v>
      </c>
      <c r="B25" s="11"/>
    </row>
    <row r="26" spans="1:2" ht="21" x14ac:dyDescent="0.5">
      <c r="A26" s="10"/>
      <c r="B26" s="11"/>
    </row>
    <row r="27" spans="1:2" ht="21" x14ac:dyDescent="0.5">
      <c r="A27" s="10" t="s">
        <v>78</v>
      </c>
      <c r="B27" s="11"/>
    </row>
    <row r="28" spans="1:2" ht="21" x14ac:dyDescent="0.5">
      <c r="A28" s="11"/>
      <c r="B28" s="11"/>
    </row>
    <row r="29" spans="1:2" ht="21" x14ac:dyDescent="0.5">
      <c r="A29" s="24" t="s">
        <v>72</v>
      </c>
      <c r="B29" s="11"/>
    </row>
    <row r="30" spans="1:2" ht="21" x14ac:dyDescent="0.5">
      <c r="A30" s="10"/>
      <c r="B30" s="11"/>
    </row>
    <row r="31" spans="1:2" ht="21" x14ac:dyDescent="0.5">
      <c r="A31" s="10" t="s">
        <v>84</v>
      </c>
      <c r="B31" s="11"/>
    </row>
    <row r="32" spans="1:2" ht="21" x14ac:dyDescent="0.5">
      <c r="A32" s="10"/>
      <c r="B32" s="11"/>
    </row>
    <row r="33" spans="1:2" ht="21" x14ac:dyDescent="0.5">
      <c r="A33" s="10" t="s">
        <v>85</v>
      </c>
      <c r="B33" s="11"/>
    </row>
    <row r="34" spans="1:2" ht="21" x14ac:dyDescent="0.5">
      <c r="A34" s="11"/>
      <c r="B34" s="11"/>
    </row>
    <row r="35" spans="1:2" ht="21" x14ac:dyDescent="0.5">
      <c r="A35" s="24" t="s">
        <v>74</v>
      </c>
      <c r="B35" s="11"/>
    </row>
    <row r="36" spans="1:2" ht="21" x14ac:dyDescent="0.5">
      <c r="A36" s="10"/>
      <c r="B36" s="11"/>
    </row>
    <row r="37" spans="1:2" ht="21" x14ac:dyDescent="0.5">
      <c r="A37" s="10" t="s">
        <v>86</v>
      </c>
      <c r="B37" s="11"/>
    </row>
    <row r="38" spans="1:2" ht="21" x14ac:dyDescent="0.5">
      <c r="A38" s="11"/>
      <c r="B38" s="11"/>
    </row>
    <row r="39" spans="1:2" ht="21" x14ac:dyDescent="0.5">
      <c r="A39" s="11"/>
      <c r="B39" s="11"/>
    </row>
    <row r="40" spans="1:2" ht="21" x14ac:dyDescent="0.5">
      <c r="A40" s="11"/>
      <c r="B40" s="11"/>
    </row>
    <row r="41" spans="1:2" ht="21" x14ac:dyDescent="0.5">
      <c r="A41" s="24" t="s">
        <v>87</v>
      </c>
      <c r="B41" s="11"/>
    </row>
    <row r="42" spans="1:2" ht="21" x14ac:dyDescent="0.5">
      <c r="A42" s="10"/>
      <c r="B42" s="11"/>
    </row>
    <row r="43" spans="1:2" ht="21" x14ac:dyDescent="0.5">
      <c r="A43" s="10" t="s">
        <v>79</v>
      </c>
      <c r="B43" s="11"/>
    </row>
    <row r="44" spans="1:2" ht="21" x14ac:dyDescent="0.5">
      <c r="A44" s="11"/>
      <c r="B44" s="11"/>
    </row>
    <row r="45" spans="1:2" ht="21" x14ac:dyDescent="0.5">
      <c r="A45" s="11"/>
      <c r="B45" s="11"/>
    </row>
    <row r="46" spans="1:2" ht="21" x14ac:dyDescent="0.5">
      <c r="A46" s="11"/>
      <c r="B46" s="11"/>
    </row>
    <row r="47" spans="1:2" ht="21" x14ac:dyDescent="0.5">
      <c r="A47" s="24"/>
      <c r="B47" s="11"/>
    </row>
    <row r="48" spans="1:2" ht="21" x14ac:dyDescent="0.5">
      <c r="A48" s="11"/>
      <c r="B48" s="11"/>
    </row>
    <row r="49" spans="1:2" ht="21" x14ac:dyDescent="0.35">
      <c r="A49" s="3"/>
      <c r="B49" s="3"/>
    </row>
    <row r="50" spans="1:2" ht="21" x14ac:dyDescent="0.35">
      <c r="A50" s="4"/>
      <c r="B50" s="26"/>
    </row>
    <row r="51" spans="1:2" ht="21" x14ac:dyDescent="0.35">
      <c r="A51" s="4"/>
      <c r="B51" s="4"/>
    </row>
    <row r="52" spans="1:2" ht="21" x14ac:dyDescent="0.35">
      <c r="A52" s="4"/>
      <c r="B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Q1)</vt:lpstr>
      <vt:lpstr>Q2)</vt:lpstr>
      <vt:lpstr>Q2(A)</vt:lpstr>
      <vt:lpstr>Q3)</vt:lpstr>
      <vt:lpstr>Q4)</vt:lpstr>
      <vt:lpstr>Q5)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2026-01-13T07:30:35Z</dcterms:created>
  <dcterms:modified xsi:type="dcterms:W3CDTF">2026-01-13T08:48:33Z</dcterms:modified>
</cp:coreProperties>
</file>