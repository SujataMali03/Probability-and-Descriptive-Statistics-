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fd12e6c10ef2eb/Documents/practical assignment stastistcs/"/>
    </mc:Choice>
  </mc:AlternateContent>
  <xr:revisionPtr revIDLastSave="107" documentId="8_{8CFD242B-3B73-4F1E-8D4B-09A35D86FAEF}" xr6:coauthVersionLast="47" xr6:coauthVersionMax="47" xr10:uidLastSave="{F410B960-3F3B-4D8E-977F-06813D2DFD48}"/>
  <bookViews>
    <workbookView xWindow="-110" yWindow="-110" windowWidth="19420" windowHeight="10300" activeTab="1" xr2:uid="{AC9649FF-55F1-4D39-90B7-DBB59D443F55}"/>
  </bookViews>
  <sheets>
    <sheet name="Q 3" sheetId="1" r:id="rId1"/>
    <sheet name="Q 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E21" i="2"/>
  <c r="E20" i="2"/>
  <c r="E19" i="2"/>
  <c r="G14" i="2"/>
  <c r="G6" i="2"/>
  <c r="G7" i="2"/>
  <c r="G8" i="2"/>
  <c r="G9" i="2"/>
  <c r="G10" i="2"/>
  <c r="G11" i="2"/>
  <c r="G12" i="2"/>
  <c r="G5" i="2"/>
  <c r="F6" i="2"/>
  <c r="F7" i="2"/>
  <c r="F8" i="2"/>
  <c r="F9" i="2"/>
  <c r="F10" i="2"/>
  <c r="F11" i="2"/>
  <c r="F12" i="2"/>
  <c r="F5" i="2"/>
  <c r="D15" i="2"/>
  <c r="B14" i="2"/>
  <c r="D14" i="2"/>
  <c r="E6" i="2"/>
  <c r="E7" i="2"/>
  <c r="E8" i="2"/>
  <c r="E9" i="2"/>
  <c r="E10" i="2"/>
  <c r="E11" i="2"/>
  <c r="E12" i="2"/>
  <c r="E5" i="2"/>
  <c r="D6" i="2"/>
  <c r="D7" i="2"/>
  <c r="D8" i="2"/>
  <c r="D9" i="2"/>
  <c r="D10" i="2"/>
  <c r="D11" i="2"/>
  <c r="D12" i="2"/>
  <c r="D5" i="2"/>
  <c r="D18" i="1"/>
  <c r="D17" i="1"/>
  <c r="D16" i="1"/>
  <c r="D15" i="1"/>
  <c r="G1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13" i="1"/>
  <c r="B1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<sst xmlns="http://schemas.openxmlformats.org/spreadsheetml/2006/main" count="32" uniqueCount="28">
  <si>
    <t>Group Value (x)</t>
  </si>
  <si>
    <t>Frequency (f)</t>
  </si>
  <si>
    <t>Fx</t>
  </si>
  <si>
    <t>mean</t>
  </si>
  <si>
    <t>X</t>
  </si>
  <si>
    <t>Related frequency</t>
  </si>
  <si>
    <t>X-mean</t>
  </si>
  <si>
    <t>(x-mean)2</t>
  </si>
  <si>
    <t>f(x-mean)2</t>
  </si>
  <si>
    <t>pop varience</t>
  </si>
  <si>
    <t>pop std deviation</t>
  </si>
  <si>
    <t>sam  varience</t>
  </si>
  <si>
    <t>sam std deviation</t>
  </si>
  <si>
    <t>Class limits</t>
  </si>
  <si>
    <t>13–19</t>
  </si>
  <si>
    <t>20–26</t>
  </si>
  <si>
    <t>27–33</t>
  </si>
  <si>
    <t>34–40</t>
  </si>
  <si>
    <t>41–47</t>
  </si>
  <si>
    <t>48–54</t>
  </si>
  <si>
    <t>55–61</t>
  </si>
  <si>
    <t>62–68</t>
  </si>
  <si>
    <t>x²</t>
  </si>
  <si>
    <t>(x-mean)</t>
  </si>
  <si>
    <t xml:space="preserve">population variance </t>
  </si>
  <si>
    <t>sample variance</t>
  </si>
  <si>
    <t>population std dev</t>
  </si>
  <si>
    <t>sample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</si>
</sst>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/>
    <xf numFmtId="0" fontId="0" fillId="0" borderId="0" xfId="0"/>
    <xf numFmtId="0" fontId="4" fillId="0" borderId="0" xfId="0" applyFont="1"/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133350</xdr:rowOff>
    </xdr:from>
    <xdr:to>
      <xdr:col>11</xdr:col>
      <xdr:colOff>298450</xdr:colOff>
      <xdr:row>0</xdr:row>
      <xdr:rowOff>641350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EFD7A9-EF69-863B-7D2C-F7C5D8F353FC}"/>
            </a:ext>
          </a:extLst>
        </xdr:cNvPr>
        <xdr:cNvSpPr txBox="1"/>
      </xdr:nvSpPr>
      <xdr:spPr>
        <a:xfrm>
          <a:off x="63500" y="133350"/>
          <a:ext cx="1014095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Q3) Create a hypothetical data set of 10 groups with their relative frequencies. Present the formulas for population variance, sample variance, population std.dev. and sample std.dev. Without using built-in formula in excel compute each of the estimates.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133350</xdr:rowOff>
    </xdr:from>
    <xdr:to>
      <xdr:col>13</xdr:col>
      <xdr:colOff>381000</xdr:colOff>
      <xdr:row>2</xdr:row>
      <xdr:rowOff>158750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968339-CD1D-7431-D2C8-11FB64A60040}"/>
            </a:ext>
          </a:extLst>
        </xdr:cNvPr>
        <xdr:cNvSpPr txBox="1"/>
      </xdr:nvSpPr>
      <xdr:spPr>
        <a:xfrm>
          <a:off x="0" y="133350"/>
          <a:ext cx="945515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/>
            <a:t>Q4) Find the variance and standard deviation. The costs per load (in cents) of 35 laundry detergents tested by a consumer organization are shown here.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CE5C-0D6A-4334-AF07-AD6AF9211ED9}">
  <dimension ref="A1:G18"/>
  <sheetViews>
    <sheetView workbookViewId="0">
      <selection activeCell="E2" sqref="E2"/>
    </sheetView>
  </sheetViews>
  <sheetFormatPr defaultRowHeight="14.5" x14ac:dyDescent="0.35"/>
  <cols>
    <col min="1" max="1" width="14.26953125" customWidth="1"/>
    <col min="2" max="2" width="15.08984375" customWidth="1"/>
    <col min="3" max="3" width="17.81640625" customWidth="1"/>
    <col min="4" max="4" width="21.36328125" customWidth="1"/>
    <col min="5" max="5" width="15.54296875" customWidth="1"/>
    <col min="6" max="6" width="14.08984375" customWidth="1"/>
  </cols>
  <sheetData>
    <row r="1" spans="1:7" ht="68.5" customHeight="1" x14ac:dyDescent="0.45">
      <c r="A1" t="s">
        <v>0</v>
      </c>
      <c r="B1" t="s">
        <v>1</v>
      </c>
      <c r="C1" t="s">
        <v>2</v>
      </c>
      <c r="D1" s="3" t="s">
        <v>5</v>
      </c>
      <c r="E1" t="s">
        <v>6</v>
      </c>
      <c r="F1" t="s">
        <v>7</v>
      </c>
      <c r="G1" t="s">
        <v>8</v>
      </c>
    </row>
    <row r="2" spans="1:7" x14ac:dyDescent="0.35">
      <c r="A2">
        <v>5</v>
      </c>
      <c r="B2">
        <v>3</v>
      </c>
      <c r="C2">
        <f>A2*B2</f>
        <v>15</v>
      </c>
      <c r="D2" s="2">
        <f>B2/$B$12</f>
        <v>7.4999999999999997E-2</v>
      </c>
      <c r="E2">
        <f>A2-$C$13</f>
        <v>-19.375</v>
      </c>
      <c r="F2">
        <f>E2^2</f>
        <v>375.390625</v>
      </c>
      <c r="G2">
        <f>B2*F2</f>
        <v>1126.171875</v>
      </c>
    </row>
    <row r="3" spans="1:7" x14ac:dyDescent="0.35">
      <c r="A3">
        <v>10</v>
      </c>
      <c r="B3">
        <v>5</v>
      </c>
      <c r="C3">
        <f t="shared" ref="C3:C11" si="0">A3*B3</f>
        <v>50</v>
      </c>
      <c r="D3" s="2">
        <f t="shared" ref="D3:D11" si="1">B3/$B$12</f>
        <v>0.125</v>
      </c>
      <c r="E3" s="2">
        <f t="shared" ref="E3:E11" si="2">A3-$C$13</f>
        <v>-14.375</v>
      </c>
      <c r="F3" s="2">
        <f t="shared" ref="F3:F11" si="3">E3^2</f>
        <v>206.640625</v>
      </c>
      <c r="G3" s="2">
        <f t="shared" ref="G3:G11" si="4">B3*F3</f>
        <v>1033.203125</v>
      </c>
    </row>
    <row r="4" spans="1:7" x14ac:dyDescent="0.35">
      <c r="A4">
        <v>15</v>
      </c>
      <c r="B4">
        <v>4</v>
      </c>
      <c r="C4">
        <f t="shared" si="0"/>
        <v>60</v>
      </c>
      <c r="D4" s="2">
        <f t="shared" si="1"/>
        <v>0.1</v>
      </c>
      <c r="E4" s="2">
        <f t="shared" si="2"/>
        <v>-9.375</v>
      </c>
      <c r="F4" s="2">
        <f t="shared" si="3"/>
        <v>87.890625</v>
      </c>
      <c r="G4" s="2">
        <f t="shared" si="4"/>
        <v>351.5625</v>
      </c>
    </row>
    <row r="5" spans="1:7" x14ac:dyDescent="0.35">
      <c r="A5">
        <v>20</v>
      </c>
      <c r="B5">
        <v>6</v>
      </c>
      <c r="C5">
        <f t="shared" si="0"/>
        <v>120</v>
      </c>
      <c r="D5" s="2">
        <f t="shared" si="1"/>
        <v>0.15</v>
      </c>
      <c r="E5" s="2">
        <f t="shared" si="2"/>
        <v>-4.375</v>
      </c>
      <c r="F5" s="2">
        <f t="shared" si="3"/>
        <v>19.140625</v>
      </c>
      <c r="G5" s="2">
        <f t="shared" si="4"/>
        <v>114.84375</v>
      </c>
    </row>
    <row r="6" spans="1:7" x14ac:dyDescent="0.35">
      <c r="A6">
        <v>25</v>
      </c>
      <c r="B6">
        <v>7</v>
      </c>
      <c r="C6">
        <f t="shared" si="0"/>
        <v>175</v>
      </c>
      <c r="D6" s="2">
        <f t="shared" si="1"/>
        <v>0.17499999999999999</v>
      </c>
      <c r="E6" s="2">
        <f t="shared" si="2"/>
        <v>0.625</v>
      </c>
      <c r="F6" s="2">
        <f t="shared" si="3"/>
        <v>0.390625</v>
      </c>
      <c r="G6" s="2">
        <f t="shared" si="4"/>
        <v>2.734375</v>
      </c>
    </row>
    <row r="7" spans="1:7" x14ac:dyDescent="0.35">
      <c r="A7">
        <v>30</v>
      </c>
      <c r="B7">
        <v>5</v>
      </c>
      <c r="C7">
        <f t="shared" si="0"/>
        <v>150</v>
      </c>
      <c r="D7" s="2">
        <f t="shared" si="1"/>
        <v>0.125</v>
      </c>
      <c r="E7" s="2">
        <f t="shared" si="2"/>
        <v>5.625</v>
      </c>
      <c r="F7" s="2">
        <f t="shared" si="3"/>
        <v>31.640625</v>
      </c>
      <c r="G7" s="2">
        <f t="shared" si="4"/>
        <v>158.203125</v>
      </c>
    </row>
    <row r="8" spans="1:7" x14ac:dyDescent="0.35">
      <c r="A8">
        <v>35</v>
      </c>
      <c r="B8">
        <v>3</v>
      </c>
      <c r="C8">
        <f t="shared" si="0"/>
        <v>105</v>
      </c>
      <c r="D8" s="2">
        <f t="shared" si="1"/>
        <v>7.4999999999999997E-2</v>
      </c>
      <c r="E8" s="2">
        <f t="shared" si="2"/>
        <v>10.625</v>
      </c>
      <c r="F8" s="2">
        <f t="shared" si="3"/>
        <v>112.890625</v>
      </c>
      <c r="G8" s="2">
        <f t="shared" si="4"/>
        <v>338.671875</v>
      </c>
    </row>
    <row r="9" spans="1:7" x14ac:dyDescent="0.35">
      <c r="A9">
        <v>40</v>
      </c>
      <c r="B9">
        <v>4</v>
      </c>
      <c r="C9">
        <f t="shared" si="0"/>
        <v>160</v>
      </c>
      <c r="D9" s="2">
        <f t="shared" si="1"/>
        <v>0.1</v>
      </c>
      <c r="E9" s="2">
        <f t="shared" si="2"/>
        <v>15.625</v>
      </c>
      <c r="F9" s="2">
        <f t="shared" si="3"/>
        <v>244.140625</v>
      </c>
      <c r="G9" s="2">
        <f t="shared" si="4"/>
        <v>976.5625</v>
      </c>
    </row>
    <row r="10" spans="1:7" x14ac:dyDescent="0.35">
      <c r="A10">
        <v>45</v>
      </c>
      <c r="B10">
        <v>2</v>
      </c>
      <c r="C10">
        <f t="shared" si="0"/>
        <v>90</v>
      </c>
      <c r="D10" s="2">
        <f t="shared" si="1"/>
        <v>0.05</v>
      </c>
      <c r="E10" s="2">
        <f t="shared" si="2"/>
        <v>20.625</v>
      </c>
      <c r="F10" s="2">
        <f t="shared" si="3"/>
        <v>425.390625</v>
      </c>
      <c r="G10" s="2">
        <f t="shared" si="4"/>
        <v>850.78125</v>
      </c>
    </row>
    <row r="11" spans="1:7" x14ac:dyDescent="0.35">
      <c r="A11">
        <v>50</v>
      </c>
      <c r="B11">
        <v>1</v>
      </c>
      <c r="C11">
        <f t="shared" si="0"/>
        <v>50</v>
      </c>
      <c r="D11" s="2">
        <f t="shared" si="1"/>
        <v>2.5000000000000001E-2</v>
      </c>
      <c r="E11" s="2">
        <f t="shared" si="2"/>
        <v>25.625</v>
      </c>
      <c r="F11" s="2">
        <f t="shared" si="3"/>
        <v>656.640625</v>
      </c>
      <c r="G11" s="2">
        <f t="shared" si="4"/>
        <v>656.640625</v>
      </c>
    </row>
    <row r="12" spans="1:7" x14ac:dyDescent="0.35">
      <c r="B12">
        <f>SUM(B2:B11)</f>
        <v>40</v>
      </c>
      <c r="G12">
        <f>SUM(G2:G11)</f>
        <v>5609.375</v>
      </c>
    </row>
    <row r="13" spans="1:7" x14ac:dyDescent="0.35">
      <c r="B13" t="s">
        <v>3</v>
      </c>
      <c r="C13">
        <f>SUM(C2:C11)/40</f>
        <v>24.375</v>
      </c>
    </row>
    <row r="15" spans="1:7" x14ac:dyDescent="0.35">
      <c r="C15" t="s">
        <v>9</v>
      </c>
      <c r="D15">
        <f>G12/B12</f>
        <v>140.234375</v>
      </c>
    </row>
    <row r="16" spans="1:7" x14ac:dyDescent="0.35">
      <c r="C16" t="s">
        <v>10</v>
      </c>
      <c r="D16">
        <f>SQRT(D15)</f>
        <v>11.842059575935261</v>
      </c>
    </row>
    <row r="17" spans="3:4" x14ac:dyDescent="0.35">
      <c r="C17" t="s">
        <v>11</v>
      </c>
      <c r="D17">
        <f>G12/B12-1</f>
        <v>139.234375</v>
      </c>
    </row>
    <row r="18" spans="3:4" x14ac:dyDescent="0.35">
      <c r="C18" t="s">
        <v>12</v>
      </c>
      <c r="D18">
        <f>SQRT(D17)</f>
        <v>11.799761650135142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5B28-3E25-45AB-8549-7ECBC20796A5}">
  <dimension ref="A4:G22"/>
  <sheetViews>
    <sheetView tabSelected="1" topLeftCell="A3" workbookViewId="0">
      <selection activeCell="H6" sqref="H6"/>
    </sheetView>
  </sheetViews>
  <sheetFormatPr defaultRowHeight="14.5" x14ac:dyDescent="0.35"/>
  <cols>
    <col min="1" max="1" width="14.7265625" customWidth="1"/>
    <col min="2" max="2" width="14.26953125" customWidth="1"/>
    <col min="4" max="4" width="19.7265625" customWidth="1"/>
    <col min="5" max="5" width="14.1796875" customWidth="1"/>
  </cols>
  <sheetData>
    <row r="4" spans="1:7" ht="37" x14ac:dyDescent="0.55000000000000004">
      <c r="A4" s="5" t="s">
        <v>13</v>
      </c>
      <c r="B4" s="5" t="s">
        <v>1</v>
      </c>
      <c r="C4" s="1" t="s">
        <v>4</v>
      </c>
      <c r="D4" s="1" t="s">
        <v>2</v>
      </c>
      <c r="E4" s="7" t="s">
        <v>22</v>
      </c>
      <c r="F4" s="10" t="s">
        <v>23</v>
      </c>
      <c r="G4" s="9" t="s">
        <v>7</v>
      </c>
    </row>
    <row r="5" spans="1:7" ht="18.5" x14ac:dyDescent="0.35">
      <c r="A5" s="6" t="s">
        <v>14</v>
      </c>
      <c r="B5" s="6">
        <v>2</v>
      </c>
      <c r="C5">
        <v>16</v>
      </c>
      <c r="D5">
        <f>B5*C5</f>
        <v>32</v>
      </c>
      <c r="E5">
        <f>C5^2</f>
        <v>256</v>
      </c>
      <c r="F5">
        <f>C5-$D$15</f>
        <v>-17.799999999999997</v>
      </c>
      <c r="G5">
        <f>F5^2</f>
        <v>316.83999999999992</v>
      </c>
    </row>
    <row r="6" spans="1:7" ht="18.5" x14ac:dyDescent="0.35">
      <c r="A6" s="6" t="s">
        <v>15</v>
      </c>
      <c r="B6" s="6">
        <v>7</v>
      </c>
      <c r="C6">
        <v>23</v>
      </c>
      <c r="D6" s="4">
        <f t="shared" ref="D6:D12" si="0">B6*C6</f>
        <v>161</v>
      </c>
      <c r="E6" s="8">
        <f t="shared" ref="E6:E12" si="1">C6^2</f>
        <v>529</v>
      </c>
      <c r="F6" s="8">
        <f t="shared" ref="F6:F12" si="2">C6-$D$15</f>
        <v>-10.799999999999997</v>
      </c>
      <c r="G6" s="8">
        <f t="shared" ref="G6:G12" si="3">F6^2</f>
        <v>116.63999999999994</v>
      </c>
    </row>
    <row r="7" spans="1:7" ht="18.5" x14ac:dyDescent="0.35">
      <c r="A7" s="6" t="s">
        <v>16</v>
      </c>
      <c r="B7" s="6">
        <v>12</v>
      </c>
      <c r="C7">
        <v>30</v>
      </c>
      <c r="D7" s="4">
        <f t="shared" si="0"/>
        <v>360</v>
      </c>
      <c r="E7" s="8">
        <f t="shared" si="1"/>
        <v>900</v>
      </c>
      <c r="F7" s="8">
        <f t="shared" si="2"/>
        <v>-3.7999999999999972</v>
      </c>
      <c r="G7" s="8">
        <f t="shared" si="3"/>
        <v>14.439999999999978</v>
      </c>
    </row>
    <row r="8" spans="1:7" ht="18.5" x14ac:dyDescent="0.35">
      <c r="A8" s="6" t="s">
        <v>17</v>
      </c>
      <c r="B8" s="6">
        <v>5</v>
      </c>
      <c r="C8">
        <v>37</v>
      </c>
      <c r="D8" s="4">
        <f t="shared" si="0"/>
        <v>185</v>
      </c>
      <c r="E8" s="8">
        <f t="shared" si="1"/>
        <v>1369</v>
      </c>
      <c r="F8" s="8">
        <f t="shared" si="2"/>
        <v>3.2000000000000028</v>
      </c>
      <c r="G8" s="8">
        <f t="shared" si="3"/>
        <v>10.240000000000018</v>
      </c>
    </row>
    <row r="9" spans="1:7" ht="18.5" x14ac:dyDescent="0.35">
      <c r="A9" s="6" t="s">
        <v>18</v>
      </c>
      <c r="B9" s="6">
        <v>6</v>
      </c>
      <c r="C9">
        <v>44</v>
      </c>
      <c r="D9" s="4">
        <f t="shared" si="0"/>
        <v>264</v>
      </c>
      <c r="E9" s="8">
        <f t="shared" si="1"/>
        <v>1936</v>
      </c>
      <c r="F9" s="8">
        <f t="shared" si="2"/>
        <v>10.200000000000003</v>
      </c>
      <c r="G9" s="8">
        <f t="shared" si="3"/>
        <v>104.04000000000006</v>
      </c>
    </row>
    <row r="10" spans="1:7" ht="18.5" x14ac:dyDescent="0.35">
      <c r="A10" s="6" t="s">
        <v>19</v>
      </c>
      <c r="B10" s="6">
        <v>1</v>
      </c>
      <c r="C10">
        <v>51</v>
      </c>
      <c r="D10" s="4">
        <f t="shared" si="0"/>
        <v>51</v>
      </c>
      <c r="E10" s="8">
        <f t="shared" si="1"/>
        <v>2601</v>
      </c>
      <c r="F10" s="8">
        <f t="shared" si="2"/>
        <v>17.200000000000003</v>
      </c>
      <c r="G10" s="8">
        <f t="shared" si="3"/>
        <v>295.84000000000009</v>
      </c>
    </row>
    <row r="11" spans="1:7" ht="18.5" x14ac:dyDescent="0.35">
      <c r="A11" s="6" t="s">
        <v>20</v>
      </c>
      <c r="B11" s="6">
        <v>0</v>
      </c>
      <c r="C11">
        <v>58</v>
      </c>
      <c r="D11" s="4">
        <f t="shared" si="0"/>
        <v>0</v>
      </c>
      <c r="E11" s="8">
        <f t="shared" si="1"/>
        <v>3364</v>
      </c>
      <c r="F11" s="8">
        <f t="shared" si="2"/>
        <v>24.200000000000003</v>
      </c>
      <c r="G11" s="8">
        <f t="shared" si="3"/>
        <v>585.6400000000001</v>
      </c>
    </row>
    <row r="12" spans="1:7" ht="18.5" x14ac:dyDescent="0.35">
      <c r="A12" s="6" t="s">
        <v>21</v>
      </c>
      <c r="B12" s="6">
        <v>2</v>
      </c>
      <c r="C12">
        <v>65</v>
      </c>
      <c r="D12" s="4">
        <f t="shared" si="0"/>
        <v>130</v>
      </c>
      <c r="E12" s="8">
        <f t="shared" si="1"/>
        <v>4225</v>
      </c>
      <c r="F12" s="8">
        <f t="shared" si="2"/>
        <v>31.200000000000003</v>
      </c>
      <c r="G12" s="8">
        <f t="shared" si="3"/>
        <v>973.44000000000017</v>
      </c>
    </row>
    <row r="14" spans="1:7" x14ac:dyDescent="0.35">
      <c r="B14">
        <f>SUM(B5:B12)</f>
        <v>35</v>
      </c>
      <c r="D14">
        <f>SUM(D5:D12)</f>
        <v>1183</v>
      </c>
      <c r="G14">
        <f>SUM(G5:G12)</f>
        <v>2417.1200000000003</v>
      </c>
    </row>
    <row r="15" spans="1:7" x14ac:dyDescent="0.35">
      <c r="C15" t="s">
        <v>3</v>
      </c>
      <c r="D15">
        <f>D14/B14</f>
        <v>33.799999999999997</v>
      </c>
    </row>
    <row r="19" spans="4:5" x14ac:dyDescent="0.35">
      <c r="D19" s="11" t="s">
        <v>24</v>
      </c>
      <c r="E19">
        <f>G14/B14</f>
        <v>69.060571428571436</v>
      </c>
    </row>
    <row r="20" spans="4:5" x14ac:dyDescent="0.35">
      <c r="D20" s="11" t="s">
        <v>25</v>
      </c>
      <c r="E20">
        <f>G14/B14-1</f>
        <v>68.060571428571436</v>
      </c>
    </row>
    <row r="21" spans="4:5" x14ac:dyDescent="0.35">
      <c r="D21" s="11" t="s">
        <v>26</v>
      </c>
      <c r="E21">
        <f>SQRT(E19)</f>
        <v>8.310269034668579</v>
      </c>
    </row>
    <row r="22" spans="4:5" x14ac:dyDescent="0.35">
      <c r="D22" s="11" t="s">
        <v>27</v>
      </c>
      <c r="E22">
        <f>SQRT(E20)</f>
        <v>8.2498831160551251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 3</vt:lpstr>
      <vt:lpstr>Q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sujata mali</dc:creator>
  <cp:lastModifiedBy>sujata mali</cp:lastModifiedBy>
  <dcterms:created xsi:type="dcterms:W3CDTF">2026-01-20T12:57:16Z</dcterms:created>
  <dcterms:modified xsi:type="dcterms:W3CDTF">2026-01-20T16:10:00Z</dcterms:modified>
</cp:coreProperties>
</file>