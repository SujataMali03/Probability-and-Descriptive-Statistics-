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DBI\Documents\PRACTICAL ASSIGNMENT STATISTICS 1\"/>
    </mc:Choice>
  </mc:AlternateContent>
  <xr:revisionPtr revIDLastSave="0" documentId="8_{7D8A79FE-F44D-4604-B9E3-0187109C5163}" xr6:coauthVersionLast="47" xr6:coauthVersionMax="47" xr10:uidLastSave="{00000000-0000-0000-0000-000000000000}"/>
  <bookViews>
    <workbookView xWindow="-110" yWindow="-110" windowWidth="19420" windowHeight="10300" activeTab="2" xr2:uid="{0578B5F9-E641-4F22-BC76-EFFBE1BE58E7}"/>
  </bookViews>
  <sheets>
    <sheet name="Question 1" sheetId="1" r:id="rId1"/>
    <sheet name="Question 3" sheetId="2" r:id="rId2"/>
    <sheet name="Question 4" sheetId="3" r:id="rId3"/>
    <sheet name="Question 5"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6" i="4"/>
  <c r="D5" i="4"/>
  <c r="G8" i="3"/>
  <c r="F8" i="3" a="1"/>
  <c r="F8" i="3" s="1"/>
  <c r="G7" i="3"/>
  <c r="F7" i="3"/>
  <c r="G6" i="3"/>
  <c r="F6" i="3"/>
  <c r="G5" i="3"/>
  <c r="F5" i="3"/>
  <c r="D11" i="2"/>
  <c r="D10" i="2"/>
  <c r="D9" i="2"/>
  <c r="D8" i="2"/>
  <c r="D7" i="2"/>
  <c r="D6" i="2"/>
  <c r="D5" i="2"/>
  <c r="D4" i="2"/>
  <c r="D3" i="2"/>
  <c r="D15" i="1"/>
  <c r="D14" i="1"/>
  <c r="D13" i="1"/>
  <c r="D12" i="1"/>
  <c r="D11" i="1"/>
  <c r="D10" i="1"/>
  <c r="D9" i="1"/>
  <c r="D8" i="1"/>
  <c r="D7" i="1"/>
  <c r="D2" i="1"/>
  <c r="K2" i="1"/>
  <c r="J2" i="1"/>
  <c r="I2" i="1"/>
  <c r="H2" i="1"/>
  <c r="G2" i="1"/>
  <c r="F2" i="1"/>
  <c r="E2" i="1"/>
  <c r="C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<sst xmlns="http://schemas.openxmlformats.org/spreadsheetml/2006/main" count="39" uniqueCount="24">
  <si>
    <t>Data</t>
  </si>
  <si>
    <t>mean</t>
  </si>
  <si>
    <t>median</t>
  </si>
  <si>
    <t>mode</t>
  </si>
  <si>
    <t>min</t>
  </si>
  <si>
    <t>max</t>
  </si>
  <si>
    <t>range</t>
  </si>
  <si>
    <t>mid-range</t>
  </si>
  <si>
    <t>pop varience</t>
  </si>
  <si>
    <t>pop std deviaton</t>
  </si>
  <si>
    <t>Q 1]   Data</t>
  </si>
  <si>
    <t>Measure</t>
  </si>
  <si>
    <t>Excel Function</t>
  </si>
  <si>
    <t>Mean</t>
  </si>
  <si>
    <t>Median</t>
  </si>
  <si>
    <t>Mode</t>
  </si>
  <si>
    <t>Minimum</t>
  </si>
  <si>
    <t>Maximum</t>
  </si>
  <si>
    <t>Range</t>
  </si>
  <si>
    <t>Mid-range</t>
  </si>
  <si>
    <t>Population Variance</t>
  </si>
  <si>
    <t>Population Std. Dev</t>
  </si>
  <si>
    <t>pop std deviation</t>
  </si>
  <si>
    <t>midrange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</si>
</sst>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theme="1"/>
      <name val="Arial Unicode MS"/>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0" fillId="3" borderId="0" xfId="0" applyFill="1"/>
    <xf numFmtId="0" fontId="0" fillId="0" borderId="0" xfId="0" applyAlignment="1">
      <alignment vertical="center" wrapText="1"/>
    </xf>
    <xf numFmtId="0" fontId="2" fillId="0" borderId="0" xfId="0" applyFont="1" applyAlignment="1">
      <alignment vertical="center" wrapText="1"/>
    </xf>
    <xf numFmtId="0" fontId="1" fillId="2" borderId="0" xfId="0" applyFont="1" applyFill="1" applyAlignment="1">
      <alignment horizontal="center" vertical="center" wrapText="1"/>
    </xf>
    <xf numFmtId="0" fontId="0" fillId="2" borderId="0" xfId="0" applyFill="1"/>
    <xf numFmtId="0" fontId="0" fillId="4" borderId="0" xfId="0" applyFill="1"/>
    <xf numFmtId="0" fontId="1" fillId="3" borderId="0" xfId="0" applyFont="1" applyFill="1"/>
    <xf numFmtId="0" fontId="1" fillId="3" borderId="0" xfId="0" applyFont="1"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1</xdr:col>
      <xdr:colOff>488950</xdr:colOff>
      <xdr:row>0</xdr:row>
      <xdr:rowOff>88900</xdr:rowOff>
    </xdr:from>
    <xdr:to>
      <xdr:col>10</xdr:col>
      <xdr:colOff>488950</xdr:colOff>
      <xdr:row>0</xdr:row>
      <xdr:rowOff>425450</xdr:rowOff>
    </xdr:to>
    <xdr:sp macro="" textlink="">
      <xdr:nvSpPr>
        <xdr:cNvPr id="2" name="TextBox 1">
          <a:extLst>
            <a:ext uri="{FF2B5EF4-FFF2-40B4-BE49-F238E27FC236}">
              <a16:creationId xmlns:a16="http://schemas.microsoft.com/office/drawing/2014/main" id="{9F751ED8-8265-EE47-02F4-143A63F472AE}"/>
            </a:ext>
          </a:extLst>
        </xdr:cNvPr>
        <xdr:cNvSpPr txBox="1"/>
      </xdr:nvSpPr>
      <xdr:spPr>
        <a:xfrm>
          <a:off x="1187450" y="88900"/>
          <a:ext cx="6286500" cy="33655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a:t>Assignment no.1: Excel Built-in Functions for   </a:t>
          </a:r>
          <a:r>
            <a:rPr lang="en-IN" sz="1800">
              <a:solidFill>
                <a:schemeClr val="dk1"/>
              </a:solidFill>
              <a:effectLst/>
              <a:latin typeface="+mn-lt"/>
              <a:ea typeface="+mn-ea"/>
              <a:cs typeface="+mn-cs"/>
            </a:rPr>
            <a:t>Descriptive Statistics</a:t>
          </a:r>
          <a:endParaRPr lang="en-IN" sz="1800">
            <a:effectLst/>
          </a:endParaRPr>
        </a:p>
        <a:p>
          <a:endParaRPr lang="en-IN" sz="1800"/>
        </a:p>
        <a:p>
          <a:endParaRPr lang="en-IN" sz="1800"/>
        </a:p>
      </xdr:txBody>
    </xdr:sp>
    <xdr:clientData/>
  </xdr:twoCellAnchor>
  <xdr:twoCellAnchor>
    <xdr:from>
      <xdr:col>0</xdr:col>
      <xdr:colOff>152400</xdr:colOff>
      <xdr:row>0</xdr:row>
      <xdr:rowOff>552450</xdr:rowOff>
    </xdr:from>
    <xdr:to>
      <xdr:col>9</xdr:col>
      <xdr:colOff>584200</xdr:colOff>
      <xdr:row>0</xdr:row>
      <xdr:rowOff>1625600</xdr:rowOff>
    </xdr:to>
    <xdr:sp macro="" textlink="">
      <xdr:nvSpPr>
        <xdr:cNvPr id="3" name="TextBox 2">
          <a:extLst>
            <a:ext uri="{FF2B5EF4-FFF2-40B4-BE49-F238E27FC236}">
              <a16:creationId xmlns:a16="http://schemas.microsoft.com/office/drawing/2014/main" id="{17915F50-7EBE-C1AA-61F2-25E8C1D5FC80}"/>
            </a:ext>
          </a:extLst>
        </xdr:cNvPr>
        <xdr:cNvSpPr txBox="1"/>
      </xdr:nvSpPr>
      <xdr:spPr>
        <a:xfrm>
          <a:off x="152400" y="552450"/>
          <a:ext cx="6445250" cy="1073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Q1) Present the mathematical formula for each of the measures mentioned below along with</a:t>
          </a:r>
        </a:p>
        <a:p>
          <a:r>
            <a:rPr lang="en-IN" sz="1100"/>
            <a:t>a numerical example.</a:t>
          </a:r>
        </a:p>
        <a:p>
          <a:r>
            <a:rPr lang="en-IN" sz="1100"/>
            <a:t>a) mean, median, mode,</a:t>
          </a:r>
        </a:p>
        <a:p>
          <a:r>
            <a:rPr lang="en-IN" sz="1100"/>
            <a:t>b) min, max, range, mid-range</a:t>
          </a:r>
        </a:p>
        <a:p>
          <a:r>
            <a:rPr lang="en-IN" sz="1100"/>
            <a:t>c) population variance, population standard deviations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xdr:colOff>
      <xdr:row>0</xdr:row>
      <xdr:rowOff>222250</xdr:rowOff>
    </xdr:from>
    <xdr:to>
      <xdr:col>12</xdr:col>
      <xdr:colOff>88900</xdr:colOff>
      <xdr:row>0</xdr:row>
      <xdr:rowOff>711200</xdr:rowOff>
    </xdr:to>
    <xdr:sp macro="" textlink="">
      <xdr:nvSpPr>
        <xdr:cNvPr id="2" name="TextBox 1">
          <a:extLst>
            <a:ext uri="{FF2B5EF4-FFF2-40B4-BE49-F238E27FC236}">
              <a16:creationId xmlns:a16="http://schemas.microsoft.com/office/drawing/2014/main" id="{EA166216-DD9D-B86E-D6E9-DD1FFAFF62F5}"/>
            </a:ext>
          </a:extLst>
        </xdr:cNvPr>
        <xdr:cNvSpPr txBox="1"/>
      </xdr:nvSpPr>
      <xdr:spPr>
        <a:xfrm>
          <a:off x="6350" y="222250"/>
          <a:ext cx="790575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t>Q3) Create a hypothetical data set of 15 observations and compute the estimations on excel.</a:t>
          </a:r>
        </a:p>
      </xdr:txBody>
    </xdr:sp>
    <xdr:clientData/>
  </xdr:twoCellAnchor>
  <xdr:twoCellAnchor>
    <xdr:from>
      <xdr:col>0</xdr:col>
      <xdr:colOff>387350</xdr:colOff>
      <xdr:row>17</xdr:row>
      <xdr:rowOff>19050</xdr:rowOff>
    </xdr:from>
    <xdr:to>
      <xdr:col>10</xdr:col>
      <xdr:colOff>31750</xdr:colOff>
      <xdr:row>23</xdr:row>
      <xdr:rowOff>57150</xdr:rowOff>
    </xdr:to>
    <xdr:sp macro="" textlink="">
      <xdr:nvSpPr>
        <xdr:cNvPr id="3" name="TextBox 2">
          <a:extLst>
            <a:ext uri="{FF2B5EF4-FFF2-40B4-BE49-F238E27FC236}">
              <a16:creationId xmlns:a16="http://schemas.microsoft.com/office/drawing/2014/main" id="{B8F5D994-E163-0E36-76DA-03F0D1837759}"/>
            </a:ext>
          </a:extLst>
        </xdr:cNvPr>
        <xdr:cNvSpPr txBox="1"/>
      </xdr:nvSpPr>
      <xdr:spPr>
        <a:xfrm>
          <a:off x="387350" y="3860800"/>
          <a:ext cx="6248400" cy="1143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 Conclusion</a:t>
          </a:r>
        </a:p>
        <a:p>
          <a:r>
            <a:rPr lang="en-IN" sz="1400"/>
            <a:t>The dataset shows a steady increase in values.</a:t>
          </a:r>
          <a:br>
            <a:rPr lang="en-IN" sz="1400"/>
          </a:br>
          <a:r>
            <a:rPr lang="en-IN" sz="1400"/>
            <a:t>Mean and median are close, indicating a nearly symmetric distribution.</a:t>
          </a:r>
          <a:br>
            <a:rPr lang="en-IN" sz="1400"/>
          </a:br>
          <a:r>
            <a:rPr lang="en-IN" sz="1400"/>
            <a:t>Since there are no repeated values, mode does not exist.</a:t>
          </a:r>
          <a:br>
            <a:rPr lang="en-IN" sz="1400"/>
          </a:br>
          <a:r>
            <a:rPr lang="en-IN" sz="1400"/>
            <a:t>Population variance and standard deviation indicate moderate dispersion.</a:t>
          </a:r>
        </a:p>
        <a:p>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38100</xdr:colOff>
      <xdr:row>0</xdr:row>
      <xdr:rowOff>247650</xdr:rowOff>
    </xdr:from>
    <xdr:to>
      <xdr:col>6</xdr:col>
      <xdr:colOff>806450</xdr:colOff>
      <xdr:row>0</xdr:row>
      <xdr:rowOff>400050</xdr:rowOff>
    </xdr:to>
    <xdr:sp macro="" textlink="">
      <xdr:nvSpPr>
        <xdr:cNvPr id="2" name="TextBox 1">
          <a:extLst>
            <a:ext uri="{FF2B5EF4-FFF2-40B4-BE49-F238E27FC236}">
              <a16:creationId xmlns:a16="http://schemas.microsoft.com/office/drawing/2014/main" id="{FB9C8B15-9888-1E03-D6EE-DA686675B320}"/>
            </a:ext>
          </a:extLst>
        </xdr:cNvPr>
        <xdr:cNvSpPr txBox="1"/>
      </xdr:nvSpPr>
      <xdr:spPr>
        <a:xfrm>
          <a:off x="1257300" y="247650"/>
          <a:ext cx="3651250"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203200</xdr:colOff>
      <xdr:row>0</xdr:row>
      <xdr:rowOff>165100</xdr:rowOff>
    </xdr:from>
    <xdr:to>
      <xdr:col>11</xdr:col>
      <xdr:colOff>317500</xdr:colOff>
      <xdr:row>0</xdr:row>
      <xdr:rowOff>965200</xdr:rowOff>
    </xdr:to>
    <xdr:sp macro="" textlink="">
      <xdr:nvSpPr>
        <xdr:cNvPr id="3073" name="Text Box 1">
          <a:extLst>
            <a:ext uri="{FF2B5EF4-FFF2-40B4-BE49-F238E27FC236}">
              <a16:creationId xmlns:a16="http://schemas.microsoft.com/office/drawing/2014/main" id="{4FD44C72-2A95-3F19-7D82-BF49C53CEFCA}"/>
            </a:ext>
          </a:extLst>
        </xdr:cNvPr>
        <xdr:cNvSpPr txBox="1">
          <a:spLocks noChangeArrowheads="1"/>
        </xdr:cNvSpPr>
      </xdr:nvSpPr>
      <xdr:spPr bwMode="auto">
        <a:xfrm>
          <a:off x="203200" y="165100"/>
          <a:ext cx="7708900" cy="80010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IN" sz="1600" b="0" i="0" u="none" strike="noStrike" baseline="0">
              <a:solidFill>
                <a:srgbClr val="000000"/>
              </a:solidFill>
              <a:latin typeface="+mn-lt"/>
            </a:rPr>
            <a:t>Q4) Populations for towns and cities of 5000 or more (based on the 2004 figures) in the</a:t>
          </a:r>
        </a:p>
        <a:p>
          <a:pPr algn="l" rtl="0">
            <a:defRPr sz="1000"/>
          </a:pPr>
          <a:r>
            <a:rPr lang="en-IN" sz="1600" b="0" i="0" u="none" strike="noStrike" baseline="0">
              <a:solidFill>
                <a:srgbClr val="000000"/>
              </a:solidFill>
              <a:latin typeface="+mn-lt"/>
            </a:rPr>
            <a:t>42XXXX zip code area are listed here for two different years. Find the mean, median, mode,</a:t>
          </a:r>
        </a:p>
        <a:p>
          <a:pPr algn="l" rtl="0">
            <a:defRPr sz="1000"/>
          </a:pPr>
          <a:r>
            <a:rPr lang="en-IN" sz="1600" b="0" i="0" u="none" strike="noStrike" baseline="0">
              <a:solidFill>
                <a:srgbClr val="000000"/>
              </a:solidFill>
              <a:latin typeface="+mn-lt"/>
            </a:rPr>
            <a:t>and midrange for each set of data. What do your findings suggest?</a:t>
          </a:r>
        </a:p>
      </xdr:txBody>
    </xdr:sp>
    <xdr:clientData/>
  </xdr:twoCellAnchor>
  <xdr:twoCellAnchor>
    <xdr:from>
      <xdr:col>0</xdr:col>
      <xdr:colOff>69850</xdr:colOff>
      <xdr:row>26</xdr:row>
      <xdr:rowOff>6350</xdr:rowOff>
    </xdr:from>
    <xdr:to>
      <xdr:col>13</xdr:col>
      <xdr:colOff>0</xdr:colOff>
      <xdr:row>34</xdr:row>
      <xdr:rowOff>107950</xdr:rowOff>
    </xdr:to>
    <xdr:sp macro="" textlink="">
      <xdr:nvSpPr>
        <xdr:cNvPr id="3" name="TextBox 2">
          <a:extLst>
            <a:ext uri="{FF2B5EF4-FFF2-40B4-BE49-F238E27FC236}">
              <a16:creationId xmlns:a16="http://schemas.microsoft.com/office/drawing/2014/main" id="{0D185BEE-2AFF-EDD8-1DCB-CCA2918C2153}"/>
            </a:ext>
          </a:extLst>
        </xdr:cNvPr>
        <xdr:cNvSpPr txBox="1"/>
      </xdr:nvSpPr>
      <xdr:spPr>
        <a:xfrm>
          <a:off x="69850" y="5892800"/>
          <a:ext cx="8743950" cy="157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Observation / Interpretation </a:t>
          </a:r>
        </a:p>
        <a:p>
          <a:r>
            <a:rPr lang="en-IN" sz="1200" b="1"/>
            <a:t>Interpretation:</a:t>
          </a:r>
          <a:br>
            <a:rPr lang="en-IN" sz="1200"/>
          </a:br>
          <a:r>
            <a:rPr lang="en-IN" sz="1200"/>
            <a:t>The mean and median population values for the second year are higher than those of the first year, indicating an overall increase in population in the towns and cities of the 42XXXX zip code area.</a:t>
          </a:r>
          <a:br>
            <a:rPr lang="en-IN" sz="1200"/>
          </a:br>
          <a:r>
            <a:rPr lang="en-IN" sz="1200"/>
            <a:t>The median being close to the mean suggests that population growth is fairly uniform across towns.</a:t>
          </a:r>
          <a:br>
            <a:rPr lang="en-IN" sz="1200"/>
          </a:br>
          <a:r>
            <a:rPr lang="en-IN" sz="1200"/>
            <a:t>The midrange is affected by extreme values and hence is less reliable compared to the mean and median.</a:t>
          </a:r>
          <a:br>
            <a:rPr lang="en-IN" sz="1200"/>
          </a:br>
          <a:r>
            <a:rPr lang="en-IN" sz="1200"/>
            <a:t>Overall, the data suggests steady population growth over the two years.</a:t>
          </a:r>
        </a:p>
        <a:p>
          <a:endParaRPr lang="en-IN"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25400</xdr:colOff>
      <xdr:row>0</xdr:row>
      <xdr:rowOff>1854200</xdr:rowOff>
    </xdr:to>
    <xdr:sp macro="" textlink="">
      <xdr:nvSpPr>
        <xdr:cNvPr id="2" name="TextBox 1">
          <a:extLst>
            <a:ext uri="{FF2B5EF4-FFF2-40B4-BE49-F238E27FC236}">
              <a16:creationId xmlns:a16="http://schemas.microsoft.com/office/drawing/2014/main" id="{CE4C1699-6CA7-C7CE-ED96-A256B1597800}"/>
            </a:ext>
          </a:extLst>
        </xdr:cNvPr>
        <xdr:cNvSpPr txBox="1"/>
      </xdr:nvSpPr>
      <xdr:spPr>
        <a:xfrm>
          <a:off x="0" y="0"/>
          <a:ext cx="5803900" cy="185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Q5) </a:t>
          </a:r>
          <a:r>
            <a:rPr lang="en-IN" sz="1100"/>
            <a:t>The following data represent salaries from a school 10,000 11,000 11,000 12,500 14,300</a:t>
          </a:r>
        </a:p>
        <a:p>
          <a:r>
            <a:rPr lang="en-IN" sz="1100"/>
            <a:t>17,500, 18,000 16,600 19,200 21,560 16,400 107,000.</a:t>
          </a:r>
        </a:p>
        <a:p>
          <a:endParaRPr lang="en-IN" sz="1100"/>
        </a:p>
        <a:p>
          <a:r>
            <a:rPr lang="en-IN" sz="1100"/>
            <a:t>8</a:t>
          </a:r>
        </a:p>
        <a:p>
          <a:endParaRPr lang="en-IN" sz="1100"/>
        </a:p>
        <a:p>
          <a:r>
            <a:rPr lang="en-IN" sz="1100"/>
            <a:t>a)If the salaries represented every teacher in the school, would the averages be</a:t>
          </a:r>
        </a:p>
        <a:p>
          <a:r>
            <a:rPr lang="en-IN" sz="1100"/>
            <a:t>parameters or statistics?</a:t>
          </a:r>
        </a:p>
        <a:p>
          <a:r>
            <a:rPr lang="en-IN" sz="1100"/>
            <a:t>b) Which measure of central tendency can be misleading when a data set contains outliers?</a:t>
          </a:r>
        </a:p>
        <a:p>
          <a:r>
            <a:rPr lang="en-IN" sz="1100"/>
            <a:t>c) When you are comparing the measures of central tendency, does the distribution display</a:t>
          </a:r>
        </a:p>
        <a:p>
          <a:r>
            <a:rPr lang="en-IN" sz="1100"/>
            <a:t>any skewness? Explain.</a:t>
          </a:r>
        </a:p>
      </xdr:txBody>
    </xdr:sp>
    <xdr:clientData/>
  </xdr:twoCellAnchor>
  <xdr:twoCellAnchor>
    <xdr:from>
      <xdr:col>0</xdr:col>
      <xdr:colOff>158750</xdr:colOff>
      <xdr:row>13</xdr:row>
      <xdr:rowOff>171450</xdr:rowOff>
    </xdr:from>
    <xdr:to>
      <xdr:col>11</xdr:col>
      <xdr:colOff>457200</xdr:colOff>
      <xdr:row>21</xdr:row>
      <xdr:rowOff>44450</xdr:rowOff>
    </xdr:to>
    <xdr:sp macro="" textlink="">
      <xdr:nvSpPr>
        <xdr:cNvPr id="3" name="TextBox 2">
          <a:extLst>
            <a:ext uri="{FF2B5EF4-FFF2-40B4-BE49-F238E27FC236}">
              <a16:creationId xmlns:a16="http://schemas.microsoft.com/office/drawing/2014/main" id="{995BD3DF-8DDB-3FE7-C7C0-BA91E40D216F}"/>
            </a:ext>
          </a:extLst>
        </xdr:cNvPr>
        <xdr:cNvSpPr txBox="1"/>
      </xdr:nvSpPr>
      <xdr:spPr>
        <a:xfrm>
          <a:off x="158750" y="4464050"/>
          <a:ext cx="7296150" cy="134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 Are the averages parameters or statistics?</a:t>
          </a:r>
        </a:p>
        <a:p>
          <a:r>
            <a:rPr lang="en-IN" sz="1200" b="1"/>
            <a:t>Answer:</a:t>
          </a:r>
          <a:br>
            <a:rPr lang="en-IN" sz="1200"/>
          </a:br>
          <a:r>
            <a:rPr lang="en-IN" sz="1200"/>
            <a:t>Since the salaries represent </a:t>
          </a:r>
          <a:r>
            <a:rPr lang="en-IN" sz="1200" b="1"/>
            <a:t>every teacher in the school</a:t>
          </a:r>
          <a:r>
            <a:rPr lang="en-IN" sz="1200"/>
            <a:t>, the averages are </a:t>
          </a:r>
          <a:r>
            <a:rPr lang="en-IN" sz="1200" b="1"/>
            <a:t>parameters</a:t>
          </a:r>
          <a:r>
            <a:rPr lang="en-IN" sz="1200"/>
            <a:t>, not statistics.</a:t>
          </a:r>
        </a:p>
        <a:p>
          <a:r>
            <a:rPr lang="en-IN" sz="1200" b="1"/>
            <a:t>Reason:</a:t>
          </a:r>
          <a:endParaRPr lang="en-IN" sz="1200"/>
        </a:p>
        <a:p>
          <a:r>
            <a:rPr lang="en-IN" sz="1200"/>
            <a:t>Parameter → describes an </a:t>
          </a:r>
          <a:r>
            <a:rPr lang="en-IN" sz="1200" b="1"/>
            <a:t>entire population</a:t>
          </a:r>
          <a:endParaRPr lang="en-IN" sz="1200"/>
        </a:p>
        <a:p>
          <a:r>
            <a:rPr lang="en-IN" sz="1200"/>
            <a:t>Statistic → describes a </a:t>
          </a:r>
          <a:r>
            <a:rPr lang="en-IN" sz="1200" b="1"/>
            <a:t>sample</a:t>
          </a:r>
          <a:endParaRPr lang="en-IN" sz="1200"/>
        </a:p>
        <a:p>
          <a:endParaRPr lang="en-IN" sz="1100"/>
        </a:p>
      </xdr:txBody>
    </xdr:sp>
    <xdr:clientData/>
  </xdr:twoCellAnchor>
  <xdr:twoCellAnchor>
    <xdr:from>
      <xdr:col>0</xdr:col>
      <xdr:colOff>146050</xdr:colOff>
      <xdr:row>22</xdr:row>
      <xdr:rowOff>127000</xdr:rowOff>
    </xdr:from>
    <xdr:to>
      <xdr:col>11</xdr:col>
      <xdr:colOff>450850</xdr:colOff>
      <xdr:row>29</xdr:row>
      <xdr:rowOff>44450</xdr:rowOff>
    </xdr:to>
    <xdr:sp macro="" textlink="">
      <xdr:nvSpPr>
        <xdr:cNvPr id="4" name="TextBox 3">
          <a:extLst>
            <a:ext uri="{FF2B5EF4-FFF2-40B4-BE49-F238E27FC236}">
              <a16:creationId xmlns:a16="http://schemas.microsoft.com/office/drawing/2014/main" id="{31BC118F-F8D7-12E3-B0B6-FA8EB03A85F1}"/>
            </a:ext>
          </a:extLst>
        </xdr:cNvPr>
        <xdr:cNvSpPr txBox="1"/>
      </xdr:nvSpPr>
      <xdr:spPr>
        <a:xfrm>
          <a:off x="146050" y="6076950"/>
          <a:ext cx="7302500" cy="1206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(b) Which measure of central tendency is misleading when data contains outliers?</a:t>
          </a:r>
        </a:p>
        <a:p>
          <a:r>
            <a:rPr lang="en-IN" sz="1200" b="1"/>
            <a:t>Answer:</a:t>
          </a:r>
          <a:br>
            <a:rPr lang="en-IN" sz="1200"/>
          </a:br>
          <a:r>
            <a:rPr lang="en-IN" sz="1200"/>
            <a:t> </a:t>
          </a:r>
          <a:r>
            <a:rPr lang="en-IN" sz="1200" b="1"/>
            <a:t>Mean</a:t>
          </a:r>
          <a:r>
            <a:rPr lang="en-IN" sz="1200"/>
            <a:t> is misleading.</a:t>
          </a:r>
        </a:p>
        <a:p>
          <a:r>
            <a:rPr lang="en-IN" sz="1200" b="1"/>
            <a:t>Reason:</a:t>
          </a:r>
          <a:br>
            <a:rPr lang="en-IN" sz="1200"/>
          </a:br>
          <a:r>
            <a:rPr lang="en-IN" sz="1200"/>
            <a:t>The salary </a:t>
          </a:r>
          <a:r>
            <a:rPr lang="en-IN" sz="1200" b="1"/>
            <a:t>₹107,000</a:t>
          </a:r>
          <a:r>
            <a:rPr lang="en-IN" sz="1200"/>
            <a:t> is an extreme value (outlier) that pulls the mean upward, giving a false impression of typical salary.</a:t>
          </a:r>
        </a:p>
        <a:p>
          <a:endParaRPr lang="en-IN" sz="1100"/>
        </a:p>
      </xdr:txBody>
    </xdr:sp>
    <xdr:clientData/>
  </xdr:twoCellAnchor>
  <xdr:twoCellAnchor>
    <xdr:from>
      <xdr:col>0</xdr:col>
      <xdr:colOff>139700</xdr:colOff>
      <xdr:row>30</xdr:row>
      <xdr:rowOff>133350</xdr:rowOff>
    </xdr:from>
    <xdr:to>
      <xdr:col>11</xdr:col>
      <xdr:colOff>488950</xdr:colOff>
      <xdr:row>39</xdr:row>
      <xdr:rowOff>19050</xdr:rowOff>
    </xdr:to>
    <xdr:sp macro="" textlink="">
      <xdr:nvSpPr>
        <xdr:cNvPr id="5" name="TextBox 4">
          <a:extLst>
            <a:ext uri="{FF2B5EF4-FFF2-40B4-BE49-F238E27FC236}">
              <a16:creationId xmlns:a16="http://schemas.microsoft.com/office/drawing/2014/main" id="{3EA48DAF-0B38-844A-0C2D-D9D796C6E812}"/>
            </a:ext>
          </a:extLst>
        </xdr:cNvPr>
        <xdr:cNvSpPr txBox="1"/>
      </xdr:nvSpPr>
      <xdr:spPr>
        <a:xfrm>
          <a:off x="139700" y="7556500"/>
          <a:ext cx="7346950" cy="154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(c) Does the distribution show skewness? Explain.</a:t>
          </a:r>
        </a:p>
        <a:p>
          <a:r>
            <a:rPr lang="en-IN" sz="1200" b="1"/>
            <a:t>Answer:</a:t>
          </a:r>
          <a:br>
            <a:rPr lang="en-IN" sz="1200"/>
          </a:br>
          <a:r>
            <a:rPr lang="en-IN" sz="1200"/>
            <a:t>Yes, the distribution is </a:t>
          </a:r>
          <a:r>
            <a:rPr lang="en-IN" sz="1200" b="1"/>
            <a:t>positively skewed (right-skewed)</a:t>
          </a:r>
          <a:r>
            <a:rPr lang="en-IN" sz="1200"/>
            <a:t>.</a:t>
          </a:r>
        </a:p>
        <a:p>
          <a:r>
            <a:rPr lang="en-IN" sz="1200" b="1"/>
            <a:t>Explanation:</a:t>
          </a:r>
          <a:endParaRPr lang="en-IN" sz="1200"/>
        </a:p>
        <a:p>
          <a:r>
            <a:rPr lang="en-IN" sz="1200"/>
            <a:t>One very high salary (₹107,000) stretches the right tail</a:t>
          </a:r>
        </a:p>
        <a:p>
          <a:r>
            <a:rPr lang="en-IN" sz="1200"/>
            <a:t>Mean &gt; Median</a:t>
          </a:r>
        </a:p>
        <a:p>
          <a:r>
            <a:rPr lang="en-IN" sz="1200"/>
            <a:t>Most salaries are clustered at lower values</a:t>
          </a:r>
        </a:p>
        <a:p>
          <a:endParaRPr lang="en-IN" sz="1100"/>
        </a:p>
      </xdr:txBody>
    </xdr:sp>
    <xdr:clientData/>
  </xdr:twoCellAnchor>
  <xdr:twoCellAnchor>
    <xdr:from>
      <xdr:col>0</xdr:col>
      <xdr:colOff>152400</xdr:colOff>
      <xdr:row>40</xdr:row>
      <xdr:rowOff>50800</xdr:rowOff>
    </xdr:from>
    <xdr:to>
      <xdr:col>11</xdr:col>
      <xdr:colOff>495300</xdr:colOff>
      <xdr:row>46</xdr:row>
      <xdr:rowOff>12700</xdr:rowOff>
    </xdr:to>
    <xdr:sp macro="" textlink="">
      <xdr:nvSpPr>
        <xdr:cNvPr id="6" name="TextBox 5">
          <a:extLst>
            <a:ext uri="{FF2B5EF4-FFF2-40B4-BE49-F238E27FC236}">
              <a16:creationId xmlns:a16="http://schemas.microsoft.com/office/drawing/2014/main" id="{9208E394-6266-F3A5-B5C3-756949BB910D}"/>
            </a:ext>
          </a:extLst>
        </xdr:cNvPr>
        <xdr:cNvSpPr txBox="1"/>
      </xdr:nvSpPr>
      <xdr:spPr>
        <a:xfrm>
          <a:off x="152400" y="9315450"/>
          <a:ext cx="7340600" cy="1066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Final Conclusion </a:t>
          </a:r>
        </a:p>
        <a:p>
          <a:r>
            <a:rPr lang="en-IN"/>
            <a:t>The salary data contains an extreme outlier which increases the mean significantly. Therefore, the mean is not a good representative of central tendency. The median provides a better measure of typical salary. The distribution is positively skewed due to the presence of a very high salary value.</a:t>
          </a:r>
        </a:p>
        <a:p>
          <a:endParaRPr lang="en-IN"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0663-55F0-432C-8DAA-E57E9058E94D}">
  <dimension ref="A1:K15"/>
  <sheetViews>
    <sheetView workbookViewId="0">
      <selection activeCell="F6" sqref="F6"/>
    </sheetView>
  </sheetViews>
  <sheetFormatPr defaultRowHeight="14.5"/>
  <cols>
    <col min="1" max="1" width="10" style="2" customWidth="1"/>
    <col min="4" max="4" width="11.36328125" bestFit="1" customWidth="1"/>
    <col min="9" max="9" width="12.36328125" customWidth="1"/>
    <col min="10" max="11" width="13.90625" customWidth="1"/>
    <col min="12" max="12" width="11.6328125" customWidth="1"/>
  </cols>
  <sheetData>
    <row r="1" spans="1:11" s="8" customFormat="1" ht="147" customHeight="1">
      <c r="A1" s="8" t="s">
        <v>10</v>
      </c>
      <c r="C1" s="8" t="s">
        <v>1</v>
      </c>
      <c r="D1" s="8" t="s">
        <v>2</v>
      </c>
      <c r="E1" s="8" t="s">
        <v>3</v>
      </c>
      <c r="F1" s="8" t="s">
        <v>4</v>
      </c>
      <c r="G1" s="8" t="s">
        <v>5</v>
      </c>
      <c r="H1" s="8" t="s">
        <v>6</v>
      </c>
      <c r="I1" s="8" t="s">
        <v>7</v>
      </c>
      <c r="J1" s="8" t="s">
        <v>8</v>
      </c>
      <c r="K1" s="8" t="s">
        <v>9</v>
      </c>
    </row>
    <row r="2" spans="1:11" s="2" customFormat="1">
      <c r="A2" s="2">
        <v>2</v>
      </c>
      <c r="C2" s="2">
        <f>AVERAGE(A2:A12)</f>
        <v>4.4545454545454541</v>
      </c>
      <c r="D2" s="2">
        <f>MEDIAN(A2:A12)</f>
        <v>4</v>
      </c>
      <c r="E2" s="2">
        <f>_xlfn.MODE.SNGL(A2:A12)</f>
        <v>3</v>
      </c>
      <c r="F2" s="2">
        <f>MIN(A2:A12)</f>
        <v>2</v>
      </c>
      <c r="G2" s="2">
        <f>MAX(A2:A12)</f>
        <v>8</v>
      </c>
      <c r="H2" s="2">
        <f>MAX(A2:A12)-MIN(A2:A12)</f>
        <v>6</v>
      </c>
      <c r="I2" s="2">
        <f>(MAX(A2:A12)+MIN(A2:A12))/2</f>
        <v>5</v>
      </c>
      <c r="J2" s="2">
        <f>_xlfn.VAR.P(A2:A12)</f>
        <v>4.0661157024793386</v>
      </c>
      <c r="K2" s="2">
        <f>_xlfn.STDEV.P(A2:A12)</f>
        <v>2.0164611829835302</v>
      </c>
    </row>
    <row r="3" spans="1:11">
      <c r="A3" s="2">
        <v>3</v>
      </c>
    </row>
    <row r="4" spans="1:11">
      <c r="A4" s="2">
        <v>4</v>
      </c>
    </row>
    <row r="5" spans="1:11">
      <c r="A5" s="2">
        <v>5</v>
      </c>
      <c r="B5" s="2"/>
    </row>
    <row r="6" spans="1:11" ht="29">
      <c r="A6" s="2">
        <v>3</v>
      </c>
      <c r="C6" s="5" t="s">
        <v>11</v>
      </c>
      <c r="D6" s="5" t="s">
        <v>12</v>
      </c>
    </row>
    <row r="7" spans="1:11">
      <c r="A7" s="2">
        <v>2</v>
      </c>
      <c r="C7" s="3" t="s">
        <v>13</v>
      </c>
      <c r="D7" s="4">
        <f>AVERAGE(A2:A12)</f>
        <v>4.4545454545454541</v>
      </c>
    </row>
    <row r="8" spans="1:11">
      <c r="A8" s="2">
        <v>7</v>
      </c>
      <c r="C8" s="3" t="s">
        <v>14</v>
      </c>
      <c r="D8" s="4">
        <f>MEDIAN(A2:A12)</f>
        <v>4</v>
      </c>
    </row>
    <row r="9" spans="1:11">
      <c r="A9" s="2">
        <v>8</v>
      </c>
      <c r="C9" s="3" t="s">
        <v>15</v>
      </c>
      <c r="D9" s="4">
        <f>_xlfn.MODE.SNGL(A2:A12)</f>
        <v>3</v>
      </c>
      <c r="E9" s="2"/>
    </row>
    <row r="10" spans="1:11">
      <c r="A10" s="2">
        <v>5</v>
      </c>
      <c r="C10" s="3" t="s">
        <v>16</v>
      </c>
      <c r="D10" s="4">
        <f>MIN(A2:A12)</f>
        <v>2</v>
      </c>
    </row>
    <row r="11" spans="1:11">
      <c r="A11" s="2">
        <v>3</v>
      </c>
      <c r="C11" s="3" t="s">
        <v>17</v>
      </c>
      <c r="D11" s="4">
        <f>MAX(A2:A12)</f>
        <v>8</v>
      </c>
    </row>
    <row r="12" spans="1:11">
      <c r="A12" s="2">
        <v>7</v>
      </c>
      <c r="C12" s="3" t="s">
        <v>18</v>
      </c>
      <c r="D12" s="4">
        <f>MAX(A2:A12)-MIN(A2:A12)</f>
        <v>6</v>
      </c>
    </row>
    <row r="13" spans="1:11" ht="29">
      <c r="C13" s="3" t="s">
        <v>19</v>
      </c>
      <c r="D13" s="4">
        <f>(MAX(A2:A12)+MIN(A2:A12))/2</f>
        <v>5</v>
      </c>
    </row>
    <row r="14" spans="1:11" ht="43.5">
      <c r="C14" s="3" t="s">
        <v>20</v>
      </c>
      <c r="D14" s="4">
        <f>_xlfn.VAR.P(A2:A12)</f>
        <v>4.0661157024793386</v>
      </c>
    </row>
    <row r="15" spans="1:11" ht="43.5">
      <c r="C15" s="3" t="s">
        <v>21</v>
      </c>
      <c r="D15" s="4">
        <f>_xlfn.STDEV.P(A2:A12)</f>
        <v>2.0164611829835302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86FF-1ED1-4932-A2E3-92467789944C}">
  <dimension ref="A1:D276"/>
  <sheetViews>
    <sheetView topLeftCell="A14" workbookViewId="0">
      <selection activeCell="H12" sqref="H12"/>
    </sheetView>
  </sheetViews>
  <sheetFormatPr defaultRowHeight="14.5"/>
  <cols>
    <col min="3" max="3" width="14" style="6" customWidth="1"/>
    <col min="4" max="4" width="10.7265625" customWidth="1"/>
  </cols>
  <sheetData>
    <row r="1" spans="1:4" ht="70.5" customHeight="1">
      <c r="A1" s="1" t="s">
        <v>0</v>
      </c>
      <c r="C1" s="2"/>
    </row>
    <row r="2" spans="1:4">
      <c r="A2">
        <v>12</v>
      </c>
      <c r="C2" s="2"/>
    </row>
    <row r="3" spans="1:4">
      <c r="A3">
        <v>23</v>
      </c>
      <c r="C3" s="6" t="s">
        <v>1</v>
      </c>
      <c r="D3">
        <f>AVERAGE(A2:A16)</f>
        <v>32.866666666666667</v>
      </c>
    </row>
    <row r="4" spans="1:4">
      <c r="A4">
        <v>34</v>
      </c>
      <c r="C4" s="6" t="s">
        <v>2</v>
      </c>
      <c r="D4">
        <f>MEDIAN(A2:A16)</f>
        <v>32</v>
      </c>
    </row>
    <row r="5" spans="1:4">
      <c r="A5">
        <v>45</v>
      </c>
      <c r="C5" s="6" t="s">
        <v>3</v>
      </c>
      <c r="D5">
        <f>_xlfn.MODE.SNGL(A2:A16)</f>
        <v>12</v>
      </c>
    </row>
    <row r="6" spans="1:4">
      <c r="A6">
        <v>56</v>
      </c>
      <c r="C6" s="6" t="s">
        <v>4</v>
      </c>
      <c r="D6">
        <f>MIN(A2:A16)</f>
        <v>10</v>
      </c>
    </row>
    <row r="7" spans="1:4">
      <c r="A7">
        <v>13</v>
      </c>
      <c r="C7" s="6" t="s">
        <v>5</v>
      </c>
      <c r="D7">
        <f>MAX(A2:A16)</f>
        <v>76</v>
      </c>
    </row>
    <row r="8" spans="1:4">
      <c r="A8">
        <v>14</v>
      </c>
      <c r="C8" s="6" t="s">
        <v>6</v>
      </c>
      <c r="D8">
        <f>MAX(A2:A16)-MIN(A2:A16)</f>
        <v>66</v>
      </c>
    </row>
    <row r="9" spans="1:4">
      <c r="A9">
        <v>23</v>
      </c>
      <c r="C9" s="6" t="s">
        <v>7</v>
      </c>
      <c r="D9">
        <f>(MAX(A2:A16)+MIN(A2:A16))/2</f>
        <v>43</v>
      </c>
    </row>
    <row r="10" spans="1:4">
      <c r="A10">
        <v>32</v>
      </c>
      <c r="C10" s="6" t="s">
        <v>8</v>
      </c>
      <c r="D10">
        <f>_xlfn.VAR.P(A2:A16)</f>
        <v>373.71555555555557</v>
      </c>
    </row>
    <row r="11" spans="1:4">
      <c r="A11">
        <v>43</v>
      </c>
      <c r="C11" s="6" t="s">
        <v>22</v>
      </c>
      <c r="D11">
        <f>_xlfn.STDEV.P(A2:A16)</f>
        <v>19.331724070955378</v>
      </c>
    </row>
    <row r="12" spans="1:4">
      <c r="A12">
        <v>54</v>
      </c>
      <c r="C12" s="2"/>
    </row>
    <row r="13" spans="1:4">
      <c r="A13">
        <v>10</v>
      </c>
      <c r="C13" s="2"/>
    </row>
    <row r="14" spans="1:4">
      <c r="A14">
        <v>46</v>
      </c>
      <c r="C14" s="2"/>
    </row>
    <row r="15" spans="1:4">
      <c r="A15">
        <v>76</v>
      </c>
      <c r="C15" s="2"/>
    </row>
    <row r="16" spans="1:4">
      <c r="A16">
        <v>12</v>
      </c>
      <c r="C16" s="2"/>
    </row>
    <row r="17" spans="3:3">
      <c r="C17" s="2"/>
    </row>
    <row r="18" spans="3:3">
      <c r="C18" s="2"/>
    </row>
    <row r="19" spans="3:3">
      <c r="C19" s="2"/>
    </row>
    <row r="20" spans="3:3">
      <c r="C20" s="2"/>
    </row>
    <row r="21" spans="3:3">
      <c r="C21" s="2"/>
    </row>
    <row r="22" spans="3:3">
      <c r="C22" s="2"/>
    </row>
    <row r="23" spans="3:3">
      <c r="C23" s="2"/>
    </row>
    <row r="24" spans="3:3">
      <c r="C24" s="2"/>
    </row>
    <row r="25" spans="3:3">
      <c r="C25" s="2"/>
    </row>
    <row r="26" spans="3:3">
      <c r="C26" s="2"/>
    </row>
    <row r="27" spans="3:3">
      <c r="C27" s="2"/>
    </row>
    <row r="28" spans="3:3">
      <c r="C28" s="2"/>
    </row>
    <row r="29" spans="3:3">
      <c r="C29" s="2"/>
    </row>
    <row r="30" spans="3:3">
      <c r="C30" s="2"/>
    </row>
    <row r="31" spans="3:3">
      <c r="C31" s="2"/>
    </row>
    <row r="32" spans="3:3">
      <c r="C32" s="2"/>
    </row>
    <row r="33" spans="3:3">
      <c r="C33" s="2"/>
    </row>
    <row r="34" spans="3:3">
      <c r="C34" s="2"/>
    </row>
    <row r="35" spans="3:3">
      <c r="C35" s="2"/>
    </row>
    <row r="36" spans="3:3">
      <c r="C36" s="2"/>
    </row>
    <row r="37" spans="3:3">
      <c r="C37" s="2"/>
    </row>
    <row r="38" spans="3:3">
      <c r="C38" s="2"/>
    </row>
    <row r="39" spans="3:3">
      <c r="C39" s="2"/>
    </row>
    <row r="40" spans="3:3">
      <c r="C40" s="2"/>
    </row>
    <row r="41" spans="3:3">
      <c r="C41" s="2"/>
    </row>
    <row r="42" spans="3:3">
      <c r="C42" s="2"/>
    </row>
    <row r="43" spans="3:3">
      <c r="C43" s="2"/>
    </row>
    <row r="44" spans="3:3">
      <c r="C44" s="2"/>
    </row>
    <row r="45" spans="3:3">
      <c r="C45" s="2"/>
    </row>
    <row r="46" spans="3:3">
      <c r="C46" s="2"/>
    </row>
    <row r="47" spans="3:3">
      <c r="C47" s="2"/>
    </row>
    <row r="48" spans="3:3">
      <c r="C48" s="2"/>
    </row>
    <row r="49" spans="3:3">
      <c r="C49" s="2"/>
    </row>
    <row r="50" spans="3:3">
      <c r="C50" s="2"/>
    </row>
    <row r="51" spans="3:3">
      <c r="C51" s="2"/>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row r="64" spans="3:3">
      <c r="C64" s="2"/>
    </row>
    <row r="65" spans="3:3">
      <c r="C65" s="2"/>
    </row>
    <row r="66" spans="3:3">
      <c r="C66" s="2"/>
    </row>
    <row r="67" spans="3:3">
      <c r="C67" s="2"/>
    </row>
    <row r="68" spans="3:3">
      <c r="C68" s="2"/>
    </row>
    <row r="69" spans="3:3">
      <c r="C69" s="2"/>
    </row>
    <row r="70" spans="3:3">
      <c r="C70" s="2"/>
    </row>
    <row r="71" spans="3:3">
      <c r="C71" s="2"/>
    </row>
    <row r="72" spans="3:3">
      <c r="C72" s="2"/>
    </row>
    <row r="73" spans="3:3">
      <c r="C73" s="2"/>
    </row>
    <row r="74" spans="3:3">
      <c r="C74" s="2"/>
    </row>
    <row r="75" spans="3:3">
      <c r="C75" s="2"/>
    </row>
    <row r="76" spans="3:3">
      <c r="C76" s="2"/>
    </row>
    <row r="77" spans="3:3">
      <c r="C77" s="2"/>
    </row>
    <row r="78" spans="3:3">
      <c r="C78" s="2"/>
    </row>
    <row r="79" spans="3:3">
      <c r="C79" s="2"/>
    </row>
    <row r="80" spans="3:3">
      <c r="C80" s="2"/>
    </row>
    <row r="81" spans="3:3">
      <c r="C81" s="2"/>
    </row>
    <row r="82" spans="3:3">
      <c r="C82" s="2"/>
    </row>
    <row r="83" spans="3:3">
      <c r="C83" s="2"/>
    </row>
    <row r="84" spans="3:3">
      <c r="C84" s="2"/>
    </row>
    <row r="85" spans="3:3">
      <c r="C85" s="2"/>
    </row>
    <row r="86" spans="3:3">
      <c r="C86" s="2"/>
    </row>
    <row r="87" spans="3:3">
      <c r="C87" s="2"/>
    </row>
    <row r="88" spans="3:3">
      <c r="C88" s="2"/>
    </row>
    <row r="89" spans="3:3">
      <c r="C89" s="2"/>
    </row>
    <row r="90" spans="3:3">
      <c r="C90" s="2"/>
    </row>
    <row r="91" spans="3:3">
      <c r="C91" s="2"/>
    </row>
    <row r="92" spans="3:3">
      <c r="C92" s="2"/>
    </row>
    <row r="93" spans="3:3">
      <c r="C93" s="2"/>
    </row>
    <row r="94" spans="3:3">
      <c r="C94" s="2"/>
    </row>
    <row r="95" spans="3:3">
      <c r="C95" s="2"/>
    </row>
    <row r="96" spans="3:3">
      <c r="C96" s="2"/>
    </row>
    <row r="97" spans="3:3">
      <c r="C97" s="2"/>
    </row>
    <row r="98" spans="3:3">
      <c r="C98" s="2"/>
    </row>
    <row r="99" spans="3:3">
      <c r="C99" s="2"/>
    </row>
    <row r="100" spans="3:3">
      <c r="C100" s="2"/>
    </row>
    <row r="101" spans="3:3">
      <c r="C101" s="2"/>
    </row>
    <row r="102" spans="3:3">
      <c r="C102" s="2"/>
    </row>
    <row r="103" spans="3:3">
      <c r="C103" s="2"/>
    </row>
    <row r="104" spans="3:3">
      <c r="C104" s="2"/>
    </row>
    <row r="105" spans="3:3">
      <c r="C105" s="2"/>
    </row>
    <row r="106" spans="3:3">
      <c r="C106" s="2"/>
    </row>
    <row r="107" spans="3:3">
      <c r="C107" s="2"/>
    </row>
    <row r="108" spans="3:3">
      <c r="C108" s="2"/>
    </row>
    <row r="109" spans="3:3">
      <c r="C109" s="2"/>
    </row>
    <row r="110" spans="3:3">
      <c r="C110" s="2"/>
    </row>
    <row r="111" spans="3:3">
      <c r="C111" s="2"/>
    </row>
    <row r="112" spans="3:3">
      <c r="C112" s="2"/>
    </row>
    <row r="113" spans="3:3">
      <c r="C113" s="2"/>
    </row>
    <row r="114" spans="3:3">
      <c r="C114" s="2"/>
    </row>
    <row r="115" spans="3:3">
      <c r="C115" s="2"/>
    </row>
    <row r="116" spans="3:3">
      <c r="C116" s="2"/>
    </row>
    <row r="117" spans="3:3">
      <c r="C117" s="2"/>
    </row>
    <row r="118" spans="3:3">
      <c r="C118" s="2"/>
    </row>
    <row r="119" spans="3:3">
      <c r="C119" s="2"/>
    </row>
    <row r="120" spans="3:3">
      <c r="C120" s="2"/>
    </row>
    <row r="121" spans="3:3">
      <c r="C121" s="2"/>
    </row>
    <row r="122" spans="3:3">
      <c r="C122" s="2"/>
    </row>
    <row r="123" spans="3:3">
      <c r="C123" s="2"/>
    </row>
    <row r="124" spans="3:3">
      <c r="C124" s="2"/>
    </row>
    <row r="125" spans="3:3">
      <c r="C125" s="2"/>
    </row>
    <row r="126" spans="3:3">
      <c r="C126" s="2"/>
    </row>
    <row r="127" spans="3:3">
      <c r="C127" s="2"/>
    </row>
    <row r="128" spans="3:3">
      <c r="C128" s="2"/>
    </row>
    <row r="129" spans="3:3">
      <c r="C129" s="2"/>
    </row>
    <row r="130" spans="3:3">
      <c r="C130" s="2"/>
    </row>
    <row r="131" spans="3:3">
      <c r="C131" s="2"/>
    </row>
    <row r="132" spans="3:3">
      <c r="C132" s="2"/>
    </row>
    <row r="133" spans="3:3">
      <c r="C133" s="2"/>
    </row>
    <row r="134" spans="3:3">
      <c r="C134" s="2"/>
    </row>
    <row r="135" spans="3:3">
      <c r="C135" s="2"/>
    </row>
    <row r="136" spans="3:3">
      <c r="C136" s="2"/>
    </row>
    <row r="137" spans="3:3">
      <c r="C137" s="2"/>
    </row>
    <row r="138" spans="3:3">
      <c r="C138" s="2"/>
    </row>
    <row r="139" spans="3:3">
      <c r="C139" s="2"/>
    </row>
    <row r="140" spans="3:3">
      <c r="C140" s="2"/>
    </row>
    <row r="141" spans="3:3">
      <c r="C141" s="2"/>
    </row>
    <row r="142" spans="3:3">
      <c r="C142" s="2"/>
    </row>
    <row r="143" spans="3:3">
      <c r="C143" s="2"/>
    </row>
    <row r="144" spans="3:3">
      <c r="C144" s="2"/>
    </row>
    <row r="145" spans="3:3">
      <c r="C145" s="2"/>
    </row>
    <row r="146" spans="3:3">
      <c r="C146" s="2"/>
    </row>
    <row r="147" spans="3:3">
      <c r="C147" s="2"/>
    </row>
    <row r="148" spans="3:3">
      <c r="C148" s="2"/>
    </row>
    <row r="149" spans="3:3">
      <c r="C149" s="2"/>
    </row>
    <row r="150" spans="3:3">
      <c r="C150" s="2"/>
    </row>
    <row r="151" spans="3:3">
      <c r="C151" s="2"/>
    </row>
    <row r="152" spans="3:3">
      <c r="C152" s="2"/>
    </row>
    <row r="153" spans="3:3">
      <c r="C153" s="2"/>
    </row>
    <row r="154" spans="3:3">
      <c r="C154" s="2"/>
    </row>
    <row r="155" spans="3:3">
      <c r="C155" s="2"/>
    </row>
    <row r="156" spans="3:3">
      <c r="C156" s="2"/>
    </row>
    <row r="157" spans="3:3">
      <c r="C157" s="2"/>
    </row>
    <row r="158" spans="3:3">
      <c r="C158" s="2"/>
    </row>
    <row r="159" spans="3:3">
      <c r="C159" s="2"/>
    </row>
    <row r="160" spans="3:3">
      <c r="C160" s="2"/>
    </row>
    <row r="161" spans="3:3">
      <c r="C161" s="2"/>
    </row>
    <row r="162" spans="3:3">
      <c r="C162" s="2"/>
    </row>
    <row r="163" spans="3:3">
      <c r="C163" s="2"/>
    </row>
    <row r="164" spans="3:3">
      <c r="C164" s="2"/>
    </row>
    <row r="165" spans="3:3">
      <c r="C165" s="2"/>
    </row>
    <row r="166" spans="3:3">
      <c r="C166" s="2"/>
    </row>
    <row r="167" spans="3:3">
      <c r="C167" s="2"/>
    </row>
    <row r="168" spans="3:3">
      <c r="C168" s="2"/>
    </row>
    <row r="169" spans="3:3">
      <c r="C169" s="2"/>
    </row>
    <row r="170" spans="3:3">
      <c r="C170" s="2"/>
    </row>
    <row r="171" spans="3:3">
      <c r="C171" s="2"/>
    </row>
    <row r="172" spans="3:3">
      <c r="C172" s="2"/>
    </row>
    <row r="173" spans="3:3">
      <c r="C173" s="2"/>
    </row>
    <row r="174" spans="3:3">
      <c r="C174" s="2"/>
    </row>
    <row r="175" spans="3:3">
      <c r="C175" s="2"/>
    </row>
    <row r="176" spans="3:3">
      <c r="C176" s="2"/>
    </row>
    <row r="177" spans="3:3">
      <c r="C177" s="2"/>
    </row>
    <row r="178" spans="3:3">
      <c r="C178" s="2"/>
    </row>
    <row r="179" spans="3:3">
      <c r="C179" s="2"/>
    </row>
    <row r="180" spans="3:3">
      <c r="C180" s="2"/>
    </row>
    <row r="181" spans="3:3">
      <c r="C181" s="2"/>
    </row>
    <row r="182" spans="3:3">
      <c r="C182" s="2"/>
    </row>
    <row r="183" spans="3:3">
      <c r="C183" s="2"/>
    </row>
    <row r="184" spans="3:3">
      <c r="C184" s="2"/>
    </row>
    <row r="185" spans="3:3">
      <c r="C185" s="2"/>
    </row>
    <row r="186" spans="3:3">
      <c r="C186" s="2"/>
    </row>
    <row r="187" spans="3:3">
      <c r="C187" s="2"/>
    </row>
    <row r="188" spans="3:3">
      <c r="C188" s="2"/>
    </row>
    <row r="189" spans="3:3">
      <c r="C189" s="2"/>
    </row>
    <row r="190" spans="3:3">
      <c r="C190" s="2"/>
    </row>
    <row r="191" spans="3:3">
      <c r="C191" s="2"/>
    </row>
    <row r="192" spans="3:3">
      <c r="C192" s="2"/>
    </row>
    <row r="193" spans="3:3">
      <c r="C193" s="2"/>
    </row>
    <row r="194" spans="3:3">
      <c r="C194" s="2"/>
    </row>
    <row r="195" spans="3:3">
      <c r="C195" s="2"/>
    </row>
    <row r="196" spans="3:3">
      <c r="C196" s="2"/>
    </row>
    <row r="197" spans="3:3">
      <c r="C197" s="2"/>
    </row>
    <row r="198" spans="3:3">
      <c r="C198" s="2"/>
    </row>
    <row r="199" spans="3:3">
      <c r="C199" s="2"/>
    </row>
    <row r="200" spans="3:3">
      <c r="C200" s="2"/>
    </row>
    <row r="201" spans="3:3">
      <c r="C201" s="2"/>
    </row>
    <row r="202" spans="3:3">
      <c r="C202" s="2"/>
    </row>
    <row r="203" spans="3:3">
      <c r="C203" s="2"/>
    </row>
    <row r="204" spans="3:3">
      <c r="C204" s="2"/>
    </row>
    <row r="205" spans="3:3">
      <c r="C205" s="2"/>
    </row>
    <row r="206" spans="3:3">
      <c r="C206" s="2"/>
    </row>
    <row r="207" spans="3:3">
      <c r="C207" s="2"/>
    </row>
    <row r="208" spans="3:3">
      <c r="C208" s="2"/>
    </row>
    <row r="209" spans="3:3">
      <c r="C209" s="2"/>
    </row>
    <row r="210" spans="3:3">
      <c r="C210" s="2"/>
    </row>
    <row r="211" spans="3:3">
      <c r="C211" s="2"/>
    </row>
    <row r="212" spans="3:3">
      <c r="C212" s="2"/>
    </row>
    <row r="213" spans="3:3">
      <c r="C213" s="2"/>
    </row>
    <row r="214" spans="3:3">
      <c r="C214" s="2"/>
    </row>
    <row r="215" spans="3:3">
      <c r="C215" s="2"/>
    </row>
    <row r="216" spans="3:3">
      <c r="C216" s="2"/>
    </row>
    <row r="217" spans="3:3">
      <c r="C217" s="2"/>
    </row>
    <row r="218" spans="3:3">
      <c r="C218" s="2"/>
    </row>
    <row r="219" spans="3:3">
      <c r="C219" s="2"/>
    </row>
    <row r="220" spans="3:3">
      <c r="C220" s="2"/>
    </row>
    <row r="221" spans="3:3">
      <c r="C221" s="2"/>
    </row>
    <row r="222" spans="3:3">
      <c r="C222" s="2"/>
    </row>
    <row r="223" spans="3:3">
      <c r="C223" s="2"/>
    </row>
    <row r="224" spans="3:3">
      <c r="C224" s="2"/>
    </row>
    <row r="225" spans="3:3">
      <c r="C225" s="2"/>
    </row>
    <row r="226" spans="3:3">
      <c r="C226" s="2"/>
    </row>
    <row r="227" spans="3:3">
      <c r="C227" s="2"/>
    </row>
    <row r="228" spans="3:3">
      <c r="C228" s="2"/>
    </row>
    <row r="229" spans="3:3">
      <c r="C229" s="2"/>
    </row>
    <row r="230" spans="3:3">
      <c r="C230" s="2"/>
    </row>
    <row r="231" spans="3:3">
      <c r="C231" s="2"/>
    </row>
    <row r="232" spans="3:3">
      <c r="C232" s="2"/>
    </row>
    <row r="233" spans="3:3">
      <c r="C233" s="2"/>
    </row>
    <row r="234" spans="3:3">
      <c r="C234" s="2"/>
    </row>
    <row r="235" spans="3:3">
      <c r="C235" s="2"/>
    </row>
    <row r="236" spans="3:3">
      <c r="C236" s="2"/>
    </row>
    <row r="237" spans="3:3">
      <c r="C237" s="2"/>
    </row>
    <row r="238" spans="3:3">
      <c r="C238" s="2"/>
    </row>
    <row r="239" spans="3:3">
      <c r="C239" s="2"/>
    </row>
    <row r="240" spans="3:3">
      <c r="C240" s="2"/>
    </row>
    <row r="241" spans="3:3">
      <c r="C241" s="2"/>
    </row>
    <row r="242" spans="3:3">
      <c r="C242" s="2"/>
    </row>
    <row r="243" spans="3:3">
      <c r="C243" s="2"/>
    </row>
    <row r="244" spans="3:3">
      <c r="C244" s="2"/>
    </row>
    <row r="245" spans="3:3">
      <c r="C245" s="2"/>
    </row>
    <row r="246" spans="3:3">
      <c r="C246" s="2"/>
    </row>
    <row r="247" spans="3:3">
      <c r="C247" s="2"/>
    </row>
    <row r="248" spans="3:3">
      <c r="C248" s="2"/>
    </row>
    <row r="249" spans="3:3">
      <c r="C249" s="2"/>
    </row>
    <row r="250" spans="3:3">
      <c r="C250" s="2"/>
    </row>
    <row r="251" spans="3:3">
      <c r="C251" s="2"/>
    </row>
    <row r="252" spans="3:3">
      <c r="C252" s="2"/>
    </row>
    <row r="253" spans="3:3">
      <c r="C253" s="2"/>
    </row>
    <row r="254" spans="3:3">
      <c r="C254" s="2"/>
    </row>
    <row r="255" spans="3:3">
      <c r="C255" s="2"/>
    </row>
    <row r="256" spans="3:3">
      <c r="C256" s="2"/>
    </row>
    <row r="257" spans="3:3">
      <c r="C257" s="2"/>
    </row>
    <row r="258" spans="3:3">
      <c r="C258" s="2"/>
    </row>
    <row r="259" spans="3:3">
      <c r="C259" s="2"/>
    </row>
    <row r="260" spans="3:3">
      <c r="C260" s="2"/>
    </row>
    <row r="261" spans="3:3">
      <c r="C261" s="2"/>
    </row>
    <row r="262" spans="3:3">
      <c r="C262" s="2"/>
    </row>
    <row r="263" spans="3:3">
      <c r="C263" s="2"/>
    </row>
    <row r="264" spans="3:3">
      <c r="C264" s="2"/>
    </row>
    <row r="265" spans="3:3">
      <c r="C265" s="2"/>
    </row>
    <row r="266" spans="3:3">
      <c r="C266" s="2"/>
    </row>
    <row r="267" spans="3:3">
      <c r="C267" s="2"/>
    </row>
    <row r="268" spans="3:3">
      <c r="C268" s="2"/>
    </row>
    <row r="269" spans="3:3">
      <c r="C269" s="2"/>
    </row>
    <row r="270" spans="3:3">
      <c r="C270" s="2"/>
    </row>
    <row r="271" spans="3:3">
      <c r="C271" s="2"/>
    </row>
    <row r="272" spans="3:3">
      <c r="C272" s="2"/>
    </row>
    <row r="273" spans="3:3">
      <c r="C273" s="2"/>
    </row>
    <row r="274" spans="3:3">
      <c r="C274" s="2"/>
    </row>
    <row r="275" spans="3:3">
      <c r="C275" s="2"/>
    </row>
    <row r="276" spans="3:3">
      <c r="C276" s="2"/>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B9286-69D7-4EDB-B512-9DC8D4DFBBB1}">
  <dimension ref="A1:G25"/>
  <sheetViews>
    <sheetView tabSelected="1" topLeftCell="A20" workbookViewId="0">
      <selection activeCell="G39" sqref="G39"/>
    </sheetView>
  </sheetViews>
  <sheetFormatPr defaultRowHeight="14.5"/>
  <cols>
    <col min="5" max="5" width="11.453125" style="1" customWidth="1"/>
    <col min="6" max="6" width="12.36328125" customWidth="1"/>
    <col min="7" max="7" width="15.08984375" customWidth="1"/>
  </cols>
  <sheetData>
    <row r="1" spans="1:7" ht="101" customHeight="1">
      <c r="A1" s="8">
        <v>2004</v>
      </c>
      <c r="B1" s="8">
        <v>1990</v>
      </c>
    </row>
    <row r="2" spans="1:7">
      <c r="A2">
        <v>11270</v>
      </c>
      <c r="B2">
        <v>13374</v>
      </c>
    </row>
    <row r="3" spans="1:7">
      <c r="A3">
        <v>8220</v>
      </c>
      <c r="B3">
        <v>9278</v>
      </c>
    </row>
    <row r="4" spans="1:7">
      <c r="A4">
        <v>5463</v>
      </c>
      <c r="B4">
        <v>6113</v>
      </c>
      <c r="F4" s="6">
        <v>2004</v>
      </c>
      <c r="G4" s="6">
        <v>1990</v>
      </c>
    </row>
    <row r="5" spans="1:7">
      <c r="A5">
        <v>8739</v>
      </c>
      <c r="B5">
        <v>9229</v>
      </c>
      <c r="E5" s="1" t="s">
        <v>1</v>
      </c>
      <c r="F5">
        <f>AVERAGE(A2:A25)</f>
        <v>8421.1666666666661</v>
      </c>
      <c r="G5">
        <f>AVERAGE(B2:B25)</f>
        <v>9810</v>
      </c>
    </row>
    <row r="6" spans="1:7">
      <c r="A6">
        <v>6199</v>
      </c>
      <c r="B6">
        <v>10687</v>
      </c>
      <c r="E6" s="1" t="s">
        <v>2</v>
      </c>
      <c r="F6">
        <f>MEDIAN(A2:A25)</f>
        <v>8197</v>
      </c>
      <c r="G6">
        <f>MEDIAN(B2:B25)</f>
        <v>9214.5</v>
      </c>
    </row>
    <row r="7" spans="1:7">
      <c r="A7">
        <v>10309</v>
      </c>
      <c r="B7">
        <v>11221</v>
      </c>
      <c r="E7" s="1" t="s">
        <v>3</v>
      </c>
      <c r="F7" t="e">
        <f>_xlfn.MODE.SNGL(A2:A25)</f>
        <v>#N/A</v>
      </c>
      <c r="G7" t="e">
        <f>_xlfn.MODE.SNGL(B2:B25)</f>
        <v>#N/A</v>
      </c>
    </row>
    <row r="8" spans="1:7">
      <c r="A8">
        <v>9964</v>
      </c>
      <c r="B8">
        <v>10823</v>
      </c>
      <c r="E8" s="1" t="s">
        <v>23</v>
      </c>
      <c r="F8" cm="1">
        <f t="array" ref="F8">MAX((A2:A25)+MIN(A2:A25))/2</f>
        <v>9984.5</v>
      </c>
      <c r="G8">
        <f>(MAX(B2:B25)+MIN(B2:B25))/2</f>
        <v>13345.5</v>
      </c>
    </row>
    <row r="9" spans="1:7">
      <c r="A9">
        <v>14340</v>
      </c>
      <c r="B9">
        <v>14292</v>
      </c>
    </row>
    <row r="10" spans="1:7">
      <c r="A10">
        <v>8825</v>
      </c>
      <c r="B10">
        <v>9200</v>
      </c>
    </row>
    <row r="11" spans="1:7">
      <c r="A11">
        <v>5132</v>
      </c>
      <c r="B11">
        <v>4768</v>
      </c>
    </row>
    <row r="12" spans="1:7">
      <c r="A12">
        <v>8174</v>
      </c>
      <c r="B12">
        <v>9656</v>
      </c>
    </row>
    <row r="13" spans="1:7">
      <c r="A13">
        <v>5282</v>
      </c>
      <c r="B13">
        <v>21923</v>
      </c>
    </row>
    <row r="14" spans="1:7">
      <c r="A14">
        <v>5307</v>
      </c>
      <c r="B14">
        <v>5319</v>
      </c>
    </row>
    <row r="15" spans="1:7">
      <c r="A15">
        <v>14925</v>
      </c>
      <c r="B15">
        <v>15174</v>
      </c>
    </row>
    <row r="16" spans="1:7">
      <c r="A16">
        <v>14849</v>
      </c>
      <c r="B16">
        <v>15864</v>
      </c>
    </row>
    <row r="17" spans="1:2">
      <c r="A17">
        <v>5707</v>
      </c>
      <c r="B17">
        <v>5748</v>
      </c>
    </row>
    <row r="18" spans="1:2">
      <c r="A18">
        <v>7439</v>
      </c>
      <c r="B18">
        <v>8133</v>
      </c>
    </row>
    <row r="19" spans="1:2">
      <c r="A19">
        <v>8395</v>
      </c>
      <c r="B19">
        <v>9135</v>
      </c>
    </row>
    <row r="20" spans="1:2">
      <c r="A20">
        <v>5044</v>
      </c>
      <c r="B20">
        <v>5784</v>
      </c>
    </row>
    <row r="21" spans="1:2">
      <c r="A21">
        <v>7869</v>
      </c>
      <c r="B21">
        <v>8286</v>
      </c>
    </row>
    <row r="22" spans="1:2">
      <c r="A22">
        <v>10493</v>
      </c>
      <c r="B22">
        <v>9126</v>
      </c>
    </row>
    <row r="23" spans="1:2">
      <c r="A23">
        <v>8397</v>
      </c>
      <c r="B23">
        <v>9901</v>
      </c>
    </row>
    <row r="24" spans="1:2">
      <c r="A24">
        <v>5094</v>
      </c>
      <c r="B24">
        <v>5445</v>
      </c>
    </row>
    <row r="25" spans="1:2">
      <c r="A25">
        <v>6672</v>
      </c>
      <c r="B25">
        <v>6961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F70BA-3929-4C7A-AB34-B9EB9F977BFB}">
  <dimension ref="A1:D13"/>
  <sheetViews>
    <sheetView topLeftCell="A27" workbookViewId="0">
      <selection activeCell="E41" sqref="E41"/>
    </sheetView>
  </sheetViews>
  <sheetFormatPr defaultRowHeight="14.5"/>
  <cols>
    <col min="1" max="1" width="12.90625" customWidth="1"/>
  </cols>
  <sheetData>
    <row r="1" spans="1:4" ht="164" customHeight="1">
      <c r="A1" s="9" t="s">
        <v>0</v>
      </c>
    </row>
    <row r="2" spans="1:4">
      <c r="A2">
        <v>10000</v>
      </c>
    </row>
    <row r="3" spans="1:4">
      <c r="A3">
        <v>11000</v>
      </c>
    </row>
    <row r="4" spans="1:4">
      <c r="A4">
        <v>11000</v>
      </c>
    </row>
    <row r="5" spans="1:4">
      <c r="A5">
        <v>12500</v>
      </c>
      <c r="C5" s="7" t="s">
        <v>13</v>
      </c>
      <c r="D5">
        <f>AVERAGE(A2:A13)</f>
        <v>22921.666666666668</v>
      </c>
    </row>
    <row r="6" spans="1:4">
      <c r="A6">
        <v>14300</v>
      </c>
      <c r="C6" s="7" t="s">
        <v>2</v>
      </c>
      <c r="D6">
        <f>MEDIAN(A2:A13)</f>
        <v>16500</v>
      </c>
    </row>
    <row r="7" spans="1:4">
      <c r="A7">
        <v>17500</v>
      </c>
      <c r="C7" s="7" t="s">
        <v>15</v>
      </c>
      <c r="D7">
        <f>_xlfn.MODE.SNGL(A2:A13)</f>
        <v>11000</v>
      </c>
    </row>
    <row r="8" spans="1:4">
      <c r="A8">
        <v>18000</v>
      </c>
    </row>
    <row r="9" spans="1:4">
      <c r="A9">
        <v>16600</v>
      </c>
    </row>
    <row r="10" spans="1:4">
      <c r="A10">
        <v>19200</v>
      </c>
    </row>
    <row r="11" spans="1:4">
      <c r="A11">
        <v>21560</v>
      </c>
    </row>
    <row r="12" spans="1:4">
      <c r="A12">
        <v>16400</v>
      </c>
    </row>
    <row r="13" spans="1:4">
      <c r="A13">
        <v>107000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Question 3</vt:lpstr>
      <vt:lpstr>Question 4</vt:lpstr>
      <vt:lpstr>Question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sujata mali</dc:creator>
  <cp:lastModifiedBy>sujata mali</cp:lastModifiedBy>
  <dcterms:created xsi:type="dcterms:W3CDTF">2026-01-12T17:29:47Z</dcterms:created>
  <dcterms:modified xsi:type="dcterms:W3CDTF">2026-01-15T07:25:02Z</dcterms:modified>
</cp:coreProperties>
</file>